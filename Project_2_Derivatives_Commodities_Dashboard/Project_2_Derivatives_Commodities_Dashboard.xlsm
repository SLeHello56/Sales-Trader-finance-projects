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OneDrive\Desktop\Projets CVs\"/>
    </mc:Choice>
  </mc:AlternateContent>
  <xr:revisionPtr revIDLastSave="0" documentId="13_ncr:1_{C51517A2-606E-461B-A146-6632A4E9446E}" xr6:coauthVersionLast="47" xr6:coauthVersionMax="47" xr10:uidLastSave="{00000000-0000-0000-0000-000000000000}"/>
  <bookViews>
    <workbookView xWindow="-108" yWindow="-108" windowWidth="23256" windowHeight="12456" firstSheet="1" activeTab="7" xr2:uid="{00000000-000D-0000-FFFF-FFFF00000000}"/>
  </bookViews>
  <sheets>
    <sheet name="Inputs" sheetId="1" r:id="rId1"/>
    <sheet name="MarketData" sheetId="2" r:id="rId2"/>
    <sheet name="Forwards" sheetId="3" r:id="rId3"/>
    <sheet name="Options_Black76" sheetId="4" r:id="rId4"/>
    <sheet name="TrinomialTree" sheetId="5" r:id="rId5"/>
    <sheet name="Scenario" sheetId="6" r:id="rId6"/>
    <sheet name="Dashboard" sheetId="7" r:id="rId7"/>
    <sheet name="VBA_Code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D6" i="3"/>
  <c r="B5" i="7"/>
  <c r="E10" i="6"/>
  <c r="E9" i="6"/>
  <c r="E8" i="6"/>
  <c r="E15" i="6" s="1"/>
  <c r="E7" i="6"/>
  <c r="B19" i="5"/>
  <c r="B12" i="5"/>
  <c r="B11" i="5"/>
  <c r="B10" i="5"/>
  <c r="B9" i="5"/>
  <c r="B8" i="5"/>
  <c r="B7" i="5"/>
  <c r="E6" i="5"/>
  <c r="B6" i="5"/>
  <c r="E5" i="5"/>
  <c r="B9" i="4"/>
  <c r="B8" i="4"/>
  <c r="B7" i="4"/>
  <c r="E7" i="4" s="1"/>
  <c r="B6" i="4"/>
  <c r="B8" i="2"/>
  <c r="B7" i="2"/>
  <c r="B6" i="2"/>
  <c r="B17" i="1"/>
  <c r="B15" i="1"/>
  <c r="AC12" i="5" l="1"/>
  <c r="AC15" i="5"/>
  <c r="AC8" i="5"/>
  <c r="AB14" i="5"/>
  <c r="AB12" i="5"/>
  <c r="AB10" i="5"/>
  <c r="AA12" i="5"/>
  <c r="E11" i="6"/>
  <c r="B6" i="7"/>
  <c r="D10" i="3"/>
  <c r="D8" i="3"/>
  <c r="D11" i="3"/>
  <c r="D7" i="3"/>
  <c r="B18" i="1"/>
  <c r="B5" i="4" s="1"/>
  <c r="C10" i="3"/>
  <c r="B7" i="7" s="1"/>
  <c r="C8" i="3"/>
  <c r="C6" i="3"/>
  <c r="C11" i="3"/>
  <c r="C9" i="3"/>
  <c r="C7" i="3"/>
  <c r="D9" i="3"/>
  <c r="B13" i="5"/>
  <c r="B16" i="1"/>
  <c r="B14" i="5" s="1"/>
  <c r="E5" i="4" l="1"/>
  <c r="E6" i="6"/>
  <c r="B18" i="5"/>
  <c r="B15" i="5"/>
  <c r="E10" i="4" l="1"/>
  <c r="B14" i="4" s="1"/>
  <c r="E6" i="4"/>
  <c r="E9" i="4" s="1"/>
  <c r="E8" i="4"/>
  <c r="E13" i="6"/>
  <c r="B20" i="5"/>
  <c r="R43" i="5"/>
  <c r="X43" i="5"/>
  <c r="AA43" i="5"/>
  <c r="AF43" i="5"/>
  <c r="AE28" i="5"/>
  <c r="AA29" i="5"/>
  <c r="Y30" i="5"/>
  <c r="AB30" i="5"/>
  <c r="V31" i="5"/>
  <c r="Z31" i="5"/>
  <c r="AG31" i="5"/>
  <c r="V32" i="5"/>
  <c r="AC32" i="5"/>
  <c r="AH32" i="5"/>
  <c r="U33" i="5"/>
  <c r="AB33" i="5"/>
  <c r="AE33" i="5"/>
  <c r="AI33" i="5"/>
  <c r="R34" i="5"/>
  <c r="U34" i="5"/>
  <c r="X34" i="5"/>
  <c r="AC34" i="5"/>
  <c r="AF34" i="5"/>
  <c r="AH34" i="5"/>
  <c r="AK34" i="5"/>
  <c r="Q35" i="5"/>
  <c r="S35" i="5"/>
  <c r="AC35" i="5"/>
  <c r="AD35" i="5"/>
  <c r="AE35" i="5"/>
  <c r="AF35" i="5"/>
  <c r="AG35" i="5"/>
  <c r="AH35" i="5"/>
  <c r="AI35" i="5"/>
  <c r="AJ35" i="5"/>
  <c r="AK35" i="5"/>
  <c r="AL35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25" i="5"/>
  <c r="Z26" i="5"/>
  <c r="X28" i="5"/>
  <c r="AA28" i="5"/>
  <c r="AD28" i="5"/>
  <c r="AB29" i="5"/>
  <c r="AF29" i="5"/>
  <c r="AC30" i="5"/>
  <c r="AC31" i="5"/>
  <c r="S32" i="5"/>
  <c r="Z32" i="5"/>
  <c r="AF32" i="5"/>
  <c r="AI32" i="5"/>
  <c r="T33" i="5"/>
  <c r="X33" i="5"/>
  <c r="AA33" i="5"/>
  <c r="AD33" i="5"/>
  <c r="AG33" i="5"/>
  <c r="AJ33" i="5"/>
  <c r="S34" i="5"/>
  <c r="W34" i="5"/>
  <c r="AA34" i="5"/>
  <c r="AD34" i="5"/>
  <c r="AJ34" i="5"/>
  <c r="P35" i="5"/>
  <c r="R35" i="5"/>
  <c r="T35" i="5"/>
  <c r="V35" i="5"/>
  <c r="W35" i="5"/>
  <c r="X35" i="5"/>
  <c r="Y35" i="5"/>
  <c r="Z35" i="5"/>
  <c r="AA35" i="5"/>
  <c r="AB35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H43" i="5"/>
  <c r="I43" i="5"/>
  <c r="J43" i="5"/>
  <c r="K43" i="5"/>
  <c r="L43" i="5"/>
  <c r="M43" i="5"/>
  <c r="N43" i="5"/>
  <c r="O43" i="5"/>
  <c r="P43" i="5"/>
  <c r="Q43" i="5"/>
  <c r="T43" i="5"/>
  <c r="V43" i="5"/>
  <c r="Z43" i="5"/>
  <c r="AC43" i="5"/>
  <c r="AE43" i="5"/>
  <c r="AH43" i="5"/>
  <c r="AJ43" i="5"/>
  <c r="AL43" i="5"/>
  <c r="AN43" i="5"/>
  <c r="AP43" i="5"/>
  <c r="AR43" i="5"/>
  <c r="AT43" i="5"/>
  <c r="H44" i="5"/>
  <c r="J44" i="5"/>
  <c r="L44" i="5"/>
  <c r="N44" i="5"/>
  <c r="L45" i="5"/>
  <c r="N45" i="5"/>
  <c r="P45" i="5"/>
  <c r="R45" i="5"/>
  <c r="T45" i="5"/>
  <c r="V45" i="5"/>
  <c r="X45" i="5"/>
  <c r="Z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B25" i="5"/>
  <c r="Y28" i="5"/>
  <c r="Y29" i="5"/>
  <c r="AE29" i="5"/>
  <c r="AG30" i="5"/>
  <c r="Y32" i="5"/>
  <c r="AA32" i="5"/>
  <c r="R33" i="5"/>
  <c r="V33" i="5"/>
  <c r="Y33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D47" i="5"/>
  <c r="E47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C4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B49" i="5"/>
  <c r="B78" i="5" s="1"/>
  <c r="C49" i="5"/>
  <c r="C78" i="5" s="1"/>
  <c r="D49" i="5"/>
  <c r="D78" i="5" s="1"/>
  <c r="E49" i="5"/>
  <c r="E78" i="5" s="1"/>
  <c r="F49" i="5"/>
  <c r="F78" i="5" s="1"/>
  <c r="G49" i="5"/>
  <c r="G78" i="5" s="1"/>
  <c r="F77" i="5" s="1"/>
  <c r="H49" i="5"/>
  <c r="H78" i="5" s="1"/>
  <c r="I49" i="5"/>
  <c r="I78" i="5" s="1"/>
  <c r="J49" i="5"/>
  <c r="J78" i="5" s="1"/>
  <c r="K49" i="5"/>
  <c r="K78" i="5" s="1"/>
  <c r="J77" i="5" s="1"/>
  <c r="L49" i="5"/>
  <c r="L78" i="5" s="1"/>
  <c r="M49" i="5"/>
  <c r="M78" i="5" s="1"/>
  <c r="N49" i="5"/>
  <c r="N78" i="5" s="1"/>
  <c r="M77" i="5" s="1"/>
  <c r="O49" i="5"/>
  <c r="O78" i="5" s="1"/>
  <c r="N77" i="5" s="1"/>
  <c r="P49" i="5"/>
  <c r="P78" i="5" s="1"/>
  <c r="Q49" i="5"/>
  <c r="Q78" i="5" s="1"/>
  <c r="R49" i="5"/>
  <c r="R78" i="5" s="1"/>
  <c r="Q77" i="5" s="1"/>
  <c r="S49" i="5"/>
  <c r="S78" i="5" s="1"/>
  <c r="T49" i="5"/>
  <c r="T78" i="5" s="1"/>
  <c r="U49" i="5"/>
  <c r="U78" i="5" s="1"/>
  <c r="T77" i="5" s="1"/>
  <c r="V49" i="5"/>
  <c r="V78" i="5" s="1"/>
  <c r="U77" i="5" s="1"/>
  <c r="W49" i="5"/>
  <c r="W78" i="5" s="1"/>
  <c r="X49" i="5"/>
  <c r="X78" i="5" s="1"/>
  <c r="Y49" i="5"/>
  <c r="Y78" i="5" s="1"/>
  <c r="Z49" i="5"/>
  <c r="Z78" i="5" s="1"/>
  <c r="Y77" i="5" s="1"/>
  <c r="AA49" i="5"/>
  <c r="AA78" i="5" s="1"/>
  <c r="Z77" i="5" s="1"/>
  <c r="AB49" i="5"/>
  <c r="AB78" i="5" s="1"/>
  <c r="AC49" i="5"/>
  <c r="AC78" i="5" s="1"/>
  <c r="AD49" i="5"/>
  <c r="AD78" i="5" s="1"/>
  <c r="AC77" i="5" s="1"/>
  <c r="AE49" i="5"/>
  <c r="AE78" i="5" s="1"/>
  <c r="AF49" i="5"/>
  <c r="AF78" i="5" s="1"/>
  <c r="AG49" i="5"/>
  <c r="AG78" i="5" s="1"/>
  <c r="AH49" i="5"/>
  <c r="AH78" i="5" s="1"/>
  <c r="AI49" i="5"/>
  <c r="AI78" i="5" s="1"/>
  <c r="AH77" i="5" s="1"/>
  <c r="AJ49" i="5"/>
  <c r="AJ78" i="5" s="1"/>
  <c r="AK49" i="5"/>
  <c r="AK78" i="5" s="1"/>
  <c r="AJ77" i="5" s="1"/>
  <c r="AC26" i="5"/>
  <c r="Z27" i="5"/>
  <c r="AD27" i="5"/>
  <c r="W29" i="5"/>
  <c r="Z29" i="5"/>
  <c r="AD29" i="5"/>
  <c r="W30" i="5"/>
  <c r="Z30" i="5"/>
  <c r="AE30" i="5"/>
  <c r="T31" i="5"/>
  <c r="X31" i="5"/>
  <c r="AA31" i="5"/>
  <c r="W32" i="5"/>
  <c r="AB32" i="5"/>
  <c r="AE32" i="5"/>
  <c r="V34" i="5"/>
  <c r="Z34" i="5"/>
  <c r="AV45" i="5"/>
  <c r="F46" i="5"/>
  <c r="H46" i="5"/>
  <c r="J46" i="5"/>
  <c r="AM49" i="5"/>
  <c r="AM78" i="5" s="1"/>
  <c r="AO49" i="5"/>
  <c r="AO78" i="5" s="1"/>
  <c r="AQ49" i="5"/>
  <c r="AQ78" i="5" s="1"/>
  <c r="AS49" i="5"/>
  <c r="AS78" i="5" s="1"/>
  <c r="AU49" i="5"/>
  <c r="AU78" i="5" s="1"/>
  <c r="AW49" i="5"/>
  <c r="AW78" i="5" s="1"/>
  <c r="AZ49" i="5"/>
  <c r="AZ78" i="5" s="1"/>
  <c r="U35" i="5"/>
  <c r="AA24" i="5"/>
  <c r="Y26" i="5"/>
  <c r="AA26" i="5"/>
  <c r="X27" i="5"/>
  <c r="AB27" i="5"/>
  <c r="W28" i="5"/>
  <c r="AB28" i="5"/>
  <c r="X29" i="5"/>
  <c r="AC29" i="5"/>
  <c r="V30" i="5"/>
  <c r="AA30" i="5"/>
  <c r="W31" i="5"/>
  <c r="AB31" i="5"/>
  <c r="AE31" i="5"/>
  <c r="AH31" i="5"/>
  <c r="U32" i="5"/>
  <c r="X32" i="5"/>
  <c r="AG32" i="5"/>
  <c r="S33" i="5"/>
  <c r="W33" i="5"/>
  <c r="Z33" i="5"/>
  <c r="AC33" i="5"/>
  <c r="AF33" i="5"/>
  <c r="AH33" i="5"/>
  <c r="Q34" i="5"/>
  <c r="T34" i="5"/>
  <c r="Y34" i="5"/>
  <c r="AB34" i="5"/>
  <c r="AE34" i="5"/>
  <c r="AG34" i="5"/>
  <c r="AI34" i="5"/>
  <c r="E46" i="5"/>
  <c r="G46" i="5"/>
  <c r="I46" i="5"/>
  <c r="AL49" i="5"/>
  <c r="AL78" i="5" s="1"/>
  <c r="AN49" i="5"/>
  <c r="AN78" i="5" s="1"/>
  <c r="AP49" i="5"/>
  <c r="AP78" i="5" s="1"/>
  <c r="AO77" i="5" s="1"/>
  <c r="AR49" i="5"/>
  <c r="AR78" i="5" s="1"/>
  <c r="AT49" i="5"/>
  <c r="AT78" i="5" s="1"/>
  <c r="AV49" i="5"/>
  <c r="AV78" i="5" s="1"/>
  <c r="AX49" i="5"/>
  <c r="AX78" i="5" s="1"/>
  <c r="AY49" i="5"/>
  <c r="AY78" i="5" s="1"/>
  <c r="Y27" i="5"/>
  <c r="AA25" i="5"/>
  <c r="AB26" i="5"/>
  <c r="AA27" i="5"/>
  <c r="Z28" i="5"/>
  <c r="AC28" i="5"/>
  <c r="V29" i="5"/>
  <c r="U30" i="5"/>
  <c r="X30" i="5"/>
  <c r="AD30" i="5"/>
  <c r="AF30" i="5"/>
  <c r="U31" i="5"/>
  <c r="Y31" i="5"/>
  <c r="AD31" i="5"/>
  <c r="AF31" i="5"/>
  <c r="T32" i="5"/>
  <c r="AD32" i="5"/>
  <c r="AC27" i="5"/>
  <c r="S43" i="5"/>
  <c r="U43" i="5"/>
  <c r="W43" i="5"/>
  <c r="Y43" i="5"/>
  <c r="AB43" i="5"/>
  <c r="AD43" i="5"/>
  <c r="AG43" i="5"/>
  <c r="AI43" i="5"/>
  <c r="AK43" i="5"/>
  <c r="AM43" i="5"/>
  <c r="AO43" i="5"/>
  <c r="AQ43" i="5"/>
  <c r="AS43" i="5"/>
  <c r="G44" i="5"/>
  <c r="I44" i="5"/>
  <c r="K44" i="5"/>
  <c r="M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F45" i="5"/>
  <c r="G45" i="5"/>
  <c r="H45" i="5"/>
  <c r="I45" i="5"/>
  <c r="J45" i="5"/>
  <c r="K45" i="5"/>
  <c r="M45" i="5"/>
  <c r="O45" i="5"/>
  <c r="Q45" i="5"/>
  <c r="S45" i="5"/>
  <c r="U45" i="5"/>
  <c r="W45" i="5"/>
  <c r="Y45" i="5"/>
  <c r="AA45" i="5"/>
  <c r="B17" i="5"/>
  <c r="O77" i="5" l="1"/>
  <c r="N76" i="5" s="1"/>
  <c r="AI77" i="5"/>
  <c r="P77" i="5"/>
  <c r="O76" i="5" s="1"/>
  <c r="O75" i="5" s="1"/>
  <c r="AG77" i="5"/>
  <c r="S77" i="5"/>
  <c r="T76" i="5" s="1"/>
  <c r="W77" i="5"/>
  <c r="R77" i="5"/>
  <c r="Q76" i="5" s="1"/>
  <c r="H77" i="5"/>
  <c r="AD77" i="5"/>
  <c r="AQ77" i="5"/>
  <c r="AB77" i="5"/>
  <c r="AS77" i="5"/>
  <c r="AU77" i="5"/>
  <c r="AW77" i="5"/>
  <c r="AX77" i="5"/>
  <c r="AA77" i="5"/>
  <c r="Z76" i="5" s="1"/>
  <c r="K77" i="5"/>
  <c r="L77" i="5"/>
  <c r="K76" i="5" s="1"/>
  <c r="AE77" i="5"/>
  <c r="AF77" i="5"/>
  <c r="AV77" i="5"/>
  <c r="AN77" i="5"/>
  <c r="V77" i="5"/>
  <c r="AL77" i="5"/>
  <c r="X77" i="5"/>
  <c r="C77" i="5"/>
  <c r="P76" i="5"/>
  <c r="AI76" i="5"/>
  <c r="Y76" i="5"/>
  <c r="AP77" i="5"/>
  <c r="AR77" i="5"/>
  <c r="AT77" i="5"/>
  <c r="AY77" i="5"/>
  <c r="AK77" i="5"/>
  <c r="AM77" i="5"/>
  <c r="B12" i="4"/>
  <c r="B13" i="4"/>
  <c r="E14" i="6"/>
  <c r="E17" i="6" s="1"/>
  <c r="E16" i="6"/>
  <c r="D77" i="5"/>
  <c r="E77" i="5"/>
  <c r="I77" i="5"/>
  <c r="G77" i="5"/>
  <c r="AH76" i="5" l="1"/>
  <c r="S76" i="5"/>
  <c r="R76" i="5"/>
  <c r="Q75" i="5" s="1"/>
  <c r="AD76" i="5"/>
  <c r="AT76" i="5"/>
  <c r="AX76" i="5"/>
  <c r="AN76" i="5"/>
  <c r="AB76" i="5"/>
  <c r="AC76" i="5"/>
  <c r="AA76" i="5"/>
  <c r="Z75" i="5" s="1"/>
  <c r="J76" i="5"/>
  <c r="U76" i="5"/>
  <c r="V76" i="5"/>
  <c r="L76" i="5"/>
  <c r="M76" i="5"/>
  <c r="L75" i="5" s="1"/>
  <c r="AE76" i="5"/>
  <c r="AF76" i="5"/>
  <c r="AG76" i="5"/>
  <c r="AH75" i="5" s="1"/>
  <c r="AU76" i="5"/>
  <c r="AV76" i="5"/>
  <c r="AW76" i="5"/>
  <c r="X76" i="5"/>
  <c r="W76" i="5"/>
  <c r="P75" i="5"/>
  <c r="AA75" i="5"/>
  <c r="AP76" i="5"/>
  <c r="AO76" i="5"/>
  <c r="AM76" i="5"/>
  <c r="AL76" i="5"/>
  <c r="AS76" i="5"/>
  <c r="E5" i="6"/>
  <c r="AQ76" i="5"/>
  <c r="AR76" i="5"/>
  <c r="AK76" i="5"/>
  <c r="AJ76" i="5"/>
  <c r="B5" i="6"/>
  <c r="B8" i="7"/>
  <c r="E76" i="5"/>
  <c r="D76" i="5"/>
  <c r="I76" i="5"/>
  <c r="H76" i="5"/>
  <c r="G76" i="5"/>
  <c r="F76" i="5"/>
  <c r="T75" i="5" l="1"/>
  <c r="K75" i="5"/>
  <c r="AD75" i="5"/>
  <c r="AE75" i="5"/>
  <c r="AE74" i="5" s="1"/>
  <c r="AW75" i="5"/>
  <c r="U75" i="5"/>
  <c r="AU75" i="5"/>
  <c r="S75" i="5"/>
  <c r="R75" i="5"/>
  <c r="Q74" i="5" s="1"/>
  <c r="V75" i="5"/>
  <c r="U74" i="5" s="1"/>
  <c r="AP75" i="5"/>
  <c r="J75" i="5"/>
  <c r="Y75" i="5"/>
  <c r="Z74" i="5" s="1"/>
  <c r="W75" i="5"/>
  <c r="AB75" i="5"/>
  <c r="AA74" i="5" s="1"/>
  <c r="AC75" i="5"/>
  <c r="E75" i="5"/>
  <c r="AF75" i="5"/>
  <c r="AG75" i="5"/>
  <c r="N75" i="5"/>
  <c r="M75" i="5"/>
  <c r="L74" i="5" s="1"/>
  <c r="AV75" i="5"/>
  <c r="AV74" i="5" s="1"/>
  <c r="R74" i="5"/>
  <c r="P74" i="5"/>
  <c r="X75" i="5"/>
  <c r="T74" i="5"/>
  <c r="AQ75" i="5"/>
  <c r="B12" i="6"/>
  <c r="B10" i="7" s="1"/>
  <c r="AM75" i="5"/>
  <c r="AL75" i="5"/>
  <c r="AO75" i="5"/>
  <c r="AK75" i="5"/>
  <c r="AN75" i="5"/>
  <c r="AR75" i="5"/>
  <c r="AT75" i="5"/>
  <c r="AS75" i="5"/>
  <c r="AJ75" i="5"/>
  <c r="AI75" i="5"/>
  <c r="I75" i="5"/>
  <c r="H75" i="5"/>
  <c r="G75" i="5"/>
  <c r="F75" i="5"/>
  <c r="K74" i="5" l="1"/>
  <c r="V74" i="5"/>
  <c r="M74" i="5"/>
  <c r="S74" i="5"/>
  <c r="T73" i="5"/>
  <c r="AI74" i="5"/>
  <c r="I74" i="5"/>
  <c r="J74" i="5"/>
  <c r="AC74" i="5"/>
  <c r="AD74" i="5"/>
  <c r="AB74" i="5"/>
  <c r="AA73" i="5" s="1"/>
  <c r="AQ74" i="5"/>
  <c r="AH74" i="5"/>
  <c r="AG74" i="5"/>
  <c r="AF74" i="5"/>
  <c r="U73" i="5"/>
  <c r="AT74" i="5"/>
  <c r="AS74" i="5"/>
  <c r="O74" i="5"/>
  <c r="P73" i="5" s="1"/>
  <c r="N74" i="5"/>
  <c r="M73" i="5" s="1"/>
  <c r="AU74" i="5"/>
  <c r="Q73" i="5"/>
  <c r="Y74" i="5"/>
  <c r="W74" i="5"/>
  <c r="V73" i="5" s="1"/>
  <c r="X74" i="5"/>
  <c r="AM74" i="5"/>
  <c r="AR74" i="5"/>
  <c r="AP74" i="5"/>
  <c r="AN74" i="5"/>
  <c r="AO74" i="5"/>
  <c r="AJ74" i="5"/>
  <c r="AL74" i="5"/>
  <c r="AK74" i="5"/>
  <c r="L73" i="5"/>
  <c r="H74" i="5"/>
  <c r="G74" i="5"/>
  <c r="F74" i="5"/>
  <c r="AE73" i="5" l="1"/>
  <c r="AP73" i="5"/>
  <c r="AQ73" i="5"/>
  <c r="AI73" i="5"/>
  <c r="S73" i="5"/>
  <c r="R73" i="5"/>
  <c r="Q72" i="5" s="1"/>
  <c r="J73" i="5"/>
  <c r="K73" i="5"/>
  <c r="J72" i="5" s="1"/>
  <c r="I73" i="5"/>
  <c r="AF73" i="5"/>
  <c r="U72" i="5"/>
  <c r="AC73" i="5"/>
  <c r="AD73" i="5"/>
  <c r="AR73" i="5"/>
  <c r="W73" i="5"/>
  <c r="V72" i="5" s="1"/>
  <c r="AB73" i="5"/>
  <c r="AH73" i="5"/>
  <c r="AG73" i="5"/>
  <c r="AT73" i="5"/>
  <c r="AU73" i="5"/>
  <c r="AS73" i="5"/>
  <c r="O73" i="5"/>
  <c r="N73" i="5"/>
  <c r="M72" i="5" s="1"/>
  <c r="Y73" i="5"/>
  <c r="Z73" i="5"/>
  <c r="X73" i="5"/>
  <c r="AN73" i="5"/>
  <c r="AJ73" i="5"/>
  <c r="AK73" i="5"/>
  <c r="AL73" i="5"/>
  <c r="AO73" i="5"/>
  <c r="AM73" i="5"/>
  <c r="H73" i="5"/>
  <c r="G73" i="5"/>
  <c r="AP72" i="5" l="1"/>
  <c r="AQ72" i="5"/>
  <c r="AR72" i="5"/>
  <c r="AE72" i="5"/>
  <c r="R72" i="5"/>
  <c r="S72" i="5"/>
  <c r="R71" i="5" s="1"/>
  <c r="T72" i="5"/>
  <c r="AF72" i="5"/>
  <c r="AE71" i="5" s="1"/>
  <c r="W72" i="5"/>
  <c r="V71" i="5" s="1"/>
  <c r="K72" i="5"/>
  <c r="L72" i="5"/>
  <c r="AS72" i="5"/>
  <c r="AR71" i="5" s="1"/>
  <c r="AB72" i="5"/>
  <c r="AA72" i="5"/>
  <c r="AD72" i="5"/>
  <c r="AC72" i="5"/>
  <c r="AT72" i="5"/>
  <c r="AI72" i="5"/>
  <c r="AH72" i="5"/>
  <c r="AG72" i="5"/>
  <c r="AJ72" i="5"/>
  <c r="P72" i="5"/>
  <c r="O72" i="5"/>
  <c r="N72" i="5"/>
  <c r="AK72" i="5"/>
  <c r="AQ71" i="5"/>
  <c r="Y72" i="5"/>
  <c r="Z72" i="5"/>
  <c r="X72" i="5"/>
  <c r="AN72" i="5"/>
  <c r="AO72" i="5"/>
  <c r="AM72" i="5"/>
  <c r="AL72" i="5"/>
  <c r="I72" i="5"/>
  <c r="H72" i="5"/>
  <c r="T71" i="5" l="1"/>
  <c r="U71" i="5"/>
  <c r="S71" i="5"/>
  <c r="U70" i="5"/>
  <c r="AS71" i="5"/>
  <c r="AR70" i="5" s="1"/>
  <c r="AF71" i="5"/>
  <c r="AI71" i="5"/>
  <c r="AH70" i="5" s="1"/>
  <c r="M71" i="5"/>
  <c r="W71" i="5"/>
  <c r="V70" i="5" s="1"/>
  <c r="K71" i="5"/>
  <c r="L71" i="5"/>
  <c r="AG71" i="5"/>
  <c r="AB71" i="5"/>
  <c r="AH71" i="5"/>
  <c r="AC71" i="5"/>
  <c r="AD71" i="5"/>
  <c r="AJ71" i="5"/>
  <c r="AK71" i="5"/>
  <c r="P71" i="5"/>
  <c r="Q71" i="5"/>
  <c r="O71" i="5"/>
  <c r="N71" i="5"/>
  <c r="M70" i="5" s="1"/>
  <c r="AA71" i="5"/>
  <c r="Z71" i="5"/>
  <c r="Y71" i="5"/>
  <c r="X71" i="5"/>
  <c r="AM71" i="5"/>
  <c r="AL71" i="5"/>
  <c r="AP71" i="5"/>
  <c r="AQ70" i="5" s="1"/>
  <c r="AN71" i="5"/>
  <c r="AO71" i="5"/>
  <c r="J71" i="5"/>
  <c r="I71" i="5"/>
  <c r="AE70" i="5" l="1"/>
  <c r="L70" i="5"/>
  <c r="AF70" i="5"/>
  <c r="AG70" i="5"/>
  <c r="S70" i="5"/>
  <c r="T70" i="5"/>
  <c r="AI70" i="5"/>
  <c r="AH69" i="5" s="1"/>
  <c r="AJ70" i="5"/>
  <c r="AI69" i="5" s="1"/>
  <c r="W70" i="5"/>
  <c r="V69" i="5" s="1"/>
  <c r="AK70" i="5"/>
  <c r="AD70" i="5"/>
  <c r="AE69" i="5" s="1"/>
  <c r="AC70" i="5"/>
  <c r="N70" i="5"/>
  <c r="AN70" i="5"/>
  <c r="AB70" i="5"/>
  <c r="AA70" i="5"/>
  <c r="P70" i="5"/>
  <c r="Q70" i="5"/>
  <c r="R70" i="5"/>
  <c r="Y70" i="5"/>
  <c r="AL70" i="5"/>
  <c r="AM70" i="5"/>
  <c r="O70" i="5"/>
  <c r="Z70" i="5"/>
  <c r="X70" i="5"/>
  <c r="AO70" i="5"/>
  <c r="AP70" i="5"/>
  <c r="AQ69" i="5" s="1"/>
  <c r="K70" i="5"/>
  <c r="J70" i="5"/>
  <c r="AG69" i="5" l="1"/>
  <c r="AF69" i="5"/>
  <c r="U69" i="5"/>
  <c r="T69" i="5"/>
  <c r="AD69" i="5"/>
  <c r="Z69" i="5"/>
  <c r="AJ69" i="5"/>
  <c r="AI68" i="5" s="1"/>
  <c r="AK69" i="5"/>
  <c r="P69" i="5"/>
  <c r="O69" i="5"/>
  <c r="N69" i="5"/>
  <c r="M69" i="5"/>
  <c r="AC69" i="5"/>
  <c r="AB69" i="5"/>
  <c r="AA69" i="5"/>
  <c r="S69" i="5"/>
  <c r="Q69" i="5"/>
  <c r="R69" i="5"/>
  <c r="AN69" i="5"/>
  <c r="AM69" i="5"/>
  <c r="AL69" i="5"/>
  <c r="X69" i="5"/>
  <c r="W69" i="5"/>
  <c r="Y69" i="5"/>
  <c r="AP69" i="5"/>
  <c r="AO69" i="5"/>
  <c r="L69" i="5"/>
  <c r="K69" i="5"/>
  <c r="AE68" i="5" l="1"/>
  <c r="V68" i="5"/>
  <c r="AG68" i="5"/>
  <c r="AF68" i="5"/>
  <c r="AH68" i="5"/>
  <c r="U68" i="5"/>
  <c r="AJ68" i="5"/>
  <c r="AA68" i="5"/>
  <c r="O68" i="5"/>
  <c r="N68" i="5"/>
  <c r="P68" i="5"/>
  <c r="AB68" i="5"/>
  <c r="AD68" i="5"/>
  <c r="AC68" i="5"/>
  <c r="Q68" i="5"/>
  <c r="AN68" i="5"/>
  <c r="AM67" i="5" s="1"/>
  <c r="M68" i="5"/>
  <c r="AK68" i="5"/>
  <c r="AM68" i="5"/>
  <c r="AL68" i="5"/>
  <c r="T68" i="5"/>
  <c r="R68" i="5"/>
  <c r="S68" i="5"/>
  <c r="Y68" i="5"/>
  <c r="X68" i="5"/>
  <c r="Z68" i="5"/>
  <c r="W68" i="5"/>
  <c r="V67" i="5" s="1"/>
  <c r="AG67" i="5"/>
  <c r="AP68" i="5"/>
  <c r="AO68" i="5"/>
  <c r="L68" i="5"/>
  <c r="AF67" i="5"/>
  <c r="AI67" i="5"/>
  <c r="AH67" i="5"/>
  <c r="AJ67" i="5" l="1"/>
  <c r="AI66" i="5" s="1"/>
  <c r="AB67" i="5"/>
  <c r="P67" i="5"/>
  <c r="AK67" i="5"/>
  <c r="O67" i="5"/>
  <c r="AL67" i="5"/>
  <c r="AK66" i="5" s="1"/>
  <c r="N67" i="5"/>
  <c r="Q67" i="5"/>
  <c r="R67" i="5"/>
  <c r="M67" i="5"/>
  <c r="AD67" i="5"/>
  <c r="AE67" i="5"/>
  <c r="AC67" i="5"/>
  <c r="X67" i="5"/>
  <c r="AO67" i="5"/>
  <c r="AN67" i="5"/>
  <c r="S67" i="5"/>
  <c r="T67" i="5"/>
  <c r="U67" i="5"/>
  <c r="W67" i="5"/>
  <c r="Z67" i="5"/>
  <c r="Y67" i="5"/>
  <c r="AA67" i="5"/>
  <c r="AH66" i="5"/>
  <c r="AG66" i="5"/>
  <c r="AC66" i="5" l="1"/>
  <c r="AL66" i="5"/>
  <c r="AJ66" i="5"/>
  <c r="AM66" i="5"/>
  <c r="AF66" i="5"/>
  <c r="AG65" i="5" s="1"/>
  <c r="AD66" i="5"/>
  <c r="AE66" i="5"/>
  <c r="R66" i="5"/>
  <c r="N66" i="5"/>
  <c r="O66" i="5"/>
  <c r="O65" i="5" s="1"/>
  <c r="P66" i="5"/>
  <c r="Q66" i="5"/>
  <c r="AN66" i="5"/>
  <c r="S66" i="5"/>
  <c r="X66" i="5"/>
  <c r="U66" i="5"/>
  <c r="T66" i="5"/>
  <c r="W66" i="5"/>
  <c r="V66" i="5"/>
  <c r="AA66" i="5"/>
  <c r="AB66" i="5"/>
  <c r="Z66" i="5"/>
  <c r="Y66" i="5"/>
  <c r="AH65" i="5"/>
  <c r="AK65" i="5" l="1"/>
  <c r="P65" i="5"/>
  <c r="AJ65" i="5"/>
  <c r="AI65" i="5"/>
  <c r="AH64" i="5" s="1"/>
  <c r="Q65" i="5"/>
  <c r="P64" i="5" s="1"/>
  <c r="AM65" i="5"/>
  <c r="AL65" i="5"/>
  <c r="AK64" i="5" s="1"/>
  <c r="AD65" i="5"/>
  <c r="AE65" i="5"/>
  <c r="AF65" i="5"/>
  <c r="R65" i="5"/>
  <c r="T65" i="5"/>
  <c r="S65" i="5"/>
  <c r="X65" i="5"/>
  <c r="V65" i="5"/>
  <c r="W65" i="5"/>
  <c r="U65" i="5"/>
  <c r="Y65" i="5"/>
  <c r="X64" i="5" s="1"/>
  <c r="Z65" i="5"/>
  <c r="AC65" i="5"/>
  <c r="AA65" i="5"/>
  <c r="AB65" i="5"/>
  <c r="AL64" i="5" l="1"/>
  <c r="Q64" i="5"/>
  <c r="AD64" i="5"/>
  <c r="R64" i="5"/>
  <c r="Q63" i="5" s="1"/>
  <c r="AJ64" i="5"/>
  <c r="AI64" i="5"/>
  <c r="AH63" i="5" s="1"/>
  <c r="AF64" i="5"/>
  <c r="AG64" i="5"/>
  <c r="AE64" i="5"/>
  <c r="AE63" i="5" s="1"/>
  <c r="Y64" i="5"/>
  <c r="S64" i="5"/>
  <c r="T64" i="5"/>
  <c r="W64" i="5"/>
  <c r="V64" i="5"/>
  <c r="Z64" i="5"/>
  <c r="Y63" i="5" s="1"/>
  <c r="AK63" i="5"/>
  <c r="U64" i="5"/>
  <c r="AB64" i="5"/>
  <c r="AC64" i="5"/>
  <c r="AA64" i="5"/>
  <c r="R63" i="5" l="1"/>
  <c r="AD63" i="5"/>
  <c r="AE62" i="5" s="1"/>
  <c r="AJ63" i="5"/>
  <c r="AI63" i="5"/>
  <c r="AH62" i="5" s="1"/>
  <c r="AG63" i="5"/>
  <c r="AF63" i="5"/>
  <c r="S63" i="5"/>
  <c r="T63" i="5"/>
  <c r="X63" i="5"/>
  <c r="W63" i="5"/>
  <c r="V63" i="5"/>
  <c r="AA63" i="5"/>
  <c r="U63" i="5"/>
  <c r="T62" i="5" s="1"/>
  <c r="Z63" i="5"/>
  <c r="AC63" i="5"/>
  <c r="AB63" i="5"/>
  <c r="R62" i="5" l="1"/>
  <c r="S62" i="5"/>
  <c r="S61" i="5" s="1"/>
  <c r="AD62" i="5"/>
  <c r="AJ62" i="5"/>
  <c r="AI61" i="5" s="1"/>
  <c r="AI62" i="5"/>
  <c r="AG62" i="5"/>
  <c r="AF62" i="5"/>
  <c r="U62" i="5"/>
  <c r="T61" i="5" s="1"/>
  <c r="Z62" i="5"/>
  <c r="X62" i="5"/>
  <c r="W62" i="5"/>
  <c r="Y62" i="5"/>
  <c r="AA62" i="5"/>
  <c r="V62" i="5"/>
  <c r="AC62" i="5"/>
  <c r="AB62" i="5"/>
  <c r="AH61" i="5" l="1"/>
  <c r="AG61" i="5"/>
  <c r="AF61" i="5"/>
  <c r="AE61" i="5"/>
  <c r="Z61" i="5"/>
  <c r="U61" i="5"/>
  <c r="T60" i="5" s="1"/>
  <c r="AA61" i="5"/>
  <c r="Y61" i="5"/>
  <c r="X61" i="5"/>
  <c r="W61" i="5"/>
  <c r="V61" i="5"/>
  <c r="AC61" i="5"/>
  <c r="AB61" i="5"/>
  <c r="AD61" i="5"/>
  <c r="AE60" i="5" l="1"/>
  <c r="AH60" i="5"/>
  <c r="AG59" i="5" s="1"/>
  <c r="AF60" i="5"/>
  <c r="AG60" i="5"/>
  <c r="U60" i="5"/>
  <c r="AA60" i="5"/>
  <c r="W60" i="5"/>
  <c r="AB60" i="5"/>
  <c r="X60" i="5"/>
  <c r="Z60" i="5"/>
  <c r="Y60" i="5"/>
  <c r="V60" i="5"/>
  <c r="AC60" i="5"/>
  <c r="AD60" i="5"/>
  <c r="AF59" i="5" l="1"/>
  <c r="AF58" i="5" s="1"/>
  <c r="W59" i="5"/>
  <c r="AE59" i="5"/>
  <c r="AB59" i="5"/>
  <c r="Z59" i="5"/>
  <c r="Y59" i="5"/>
  <c r="AA59" i="5"/>
  <c r="V59" i="5"/>
  <c r="U59" i="5"/>
  <c r="X59" i="5"/>
  <c r="AD59" i="5"/>
  <c r="AC59" i="5"/>
  <c r="W58" i="5" l="1"/>
  <c r="Y58" i="5"/>
  <c r="Z58" i="5"/>
  <c r="AA58" i="5"/>
  <c r="X58" i="5"/>
  <c r="V58" i="5"/>
  <c r="AB58" i="5"/>
  <c r="AE58" i="5"/>
  <c r="AD58" i="5"/>
  <c r="AC58" i="5"/>
  <c r="Y57" i="5" l="1"/>
  <c r="AB57" i="5"/>
  <c r="X57" i="5"/>
  <c r="W57" i="5"/>
  <c r="Z57" i="5"/>
  <c r="AA57" i="5"/>
  <c r="AE57" i="5"/>
  <c r="AD57" i="5"/>
  <c r="AC57" i="5"/>
  <c r="X56" i="5" l="1"/>
  <c r="Y56" i="5"/>
  <c r="AB56" i="5"/>
  <c r="AA56" i="5"/>
  <c r="Z56" i="5"/>
  <c r="AD56" i="5"/>
  <c r="AC56" i="5"/>
  <c r="AB55" i="5" s="1"/>
  <c r="Y55" i="5" l="1"/>
  <c r="Z55" i="5"/>
  <c r="AA55" i="5"/>
  <c r="AC55" i="5"/>
  <c r="AB54" i="5" s="1"/>
  <c r="Z54" i="5" l="1"/>
  <c r="AA54" i="5"/>
  <c r="AA53" i="5" l="1"/>
  <c r="B21" i="5" s="1"/>
  <c r="B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source</author>
  </authors>
  <commentList>
    <comment ref="D6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EIA Open Data API documentation: https://www.eia.gov/opendata/documentation.php</t>
        </r>
      </text>
    </comment>
    <comment ref="D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Nasdaq Data Link documentation: https://docs.data.nasdaq.com/</t>
        </r>
      </text>
    </comment>
  </commentList>
</comments>
</file>

<file path=xl/sharedStrings.xml><?xml version="1.0" encoding="utf-8"?>
<sst xmlns="http://schemas.openxmlformats.org/spreadsheetml/2006/main" count="250" uniqueCount="208">
  <si>
    <t>Derivatives &amp; Commodities Dashboard — Inputs</t>
  </si>
  <si>
    <t>Market &amp; Carry Inputs</t>
  </si>
  <si>
    <t>Option Setup</t>
  </si>
  <si>
    <t>Commodity</t>
  </si>
  <si>
    <t>WTI Crude (demo)</t>
  </si>
  <si>
    <t>Option Type</t>
  </si>
  <si>
    <t>Call</t>
  </si>
  <si>
    <t>Spot S0</t>
  </si>
  <si>
    <t>Style</t>
  </si>
  <si>
    <t>European</t>
  </si>
  <si>
    <t>Risk-free rate r</t>
  </si>
  <si>
    <t>Strike K</t>
  </si>
  <si>
    <t>Storage/financing u</t>
  </si>
  <si>
    <t>Steps (Tree)</t>
  </si>
  <si>
    <t>Convenience yield y</t>
  </si>
  <si>
    <t>Dividend/Carry q (equity)</t>
  </si>
  <si>
    <t>Volatility σ</t>
  </si>
  <si>
    <t>Maturity T (years)</t>
  </si>
  <si>
    <t>Derived</t>
  </si>
  <si>
    <t>dt (T/steps)</t>
  </si>
  <si>
    <t>discount DF = exp(-r*dt)</t>
  </si>
  <si>
    <t>Carry (r+u-y)</t>
  </si>
  <si>
    <t>Forward F(0,T)</t>
  </si>
  <si>
    <t>Market Data (manual or via API refresh)</t>
  </si>
  <si>
    <t>Tip: Use the VBA code (see VBA_Code sheet) or Power Query to refresh EIA / Nasdaq Data Link.</t>
  </si>
  <si>
    <t>Field</t>
  </si>
  <si>
    <t>Value</t>
  </si>
  <si>
    <t>Units</t>
  </si>
  <si>
    <t>Source / URL</t>
  </si>
  <si>
    <t>Last Updated</t>
  </si>
  <si>
    <t>Notes</t>
  </si>
  <si>
    <t>Spot (linked to Inputs)</t>
  </si>
  <si>
    <t>USD</t>
  </si>
  <si>
    <t>https://api.eia.gov/v2/  (EIA Open Data)</t>
  </si>
  <si>
    <t>You can overwrite Inputs!B6 with live spot</t>
  </si>
  <si>
    <t>%</t>
  </si>
  <si>
    <t>Manual / curve source</t>
  </si>
  <si>
    <t>Manual / vol source</t>
  </si>
  <si>
    <t>EIA API Key (input)</t>
  </si>
  <si>
    <t>https://www.eia.gov/opendata/  (register for a free key)</t>
  </si>
  <si>
    <t>Required for EIA API requests</t>
  </si>
  <si>
    <t>Nasdaq Data Link API Key (input)</t>
  </si>
  <si>
    <t>https://docs.data.nasdaq.com/  (Data Link docs)</t>
  </si>
  <si>
    <t>Required for Nasdaq Data Link requests</t>
  </si>
  <si>
    <t>Nasdaq Data Link example endpoint</t>
  </si>
  <si>
    <t>https://data.nasdaq.com/api/v3/datasets/XNAS/AAPL/data?api_key=YOUR_API_KEY</t>
  </si>
  <si>
    <t>Example only</t>
  </si>
  <si>
    <t>Spot → Forward Curve (Cost of Carry)</t>
  </si>
  <si>
    <t>F(0,T) = S0 * exp((r + storage - convenience_yield) * T)</t>
  </si>
  <si>
    <t>Tenor</t>
  </si>
  <si>
    <t>T (years)</t>
  </si>
  <si>
    <t>Forward</t>
  </si>
  <si>
    <t>1W</t>
  </si>
  <si>
    <t>1M</t>
  </si>
  <si>
    <t>3M</t>
  </si>
  <si>
    <t>6M</t>
  </si>
  <si>
    <t>1Y</t>
  </si>
  <si>
    <t>2Y</t>
  </si>
  <si>
    <t>Options on Futures (Black-76) — Price &amp; Greeks</t>
  </si>
  <si>
    <t>Uses forward F from Inputs (or Forwards sheet) and prices European options under Black-76.</t>
  </si>
  <si>
    <t>Forward F</t>
  </si>
  <si>
    <t>d1</t>
  </si>
  <si>
    <t>d2</t>
  </si>
  <si>
    <t>Rate r</t>
  </si>
  <si>
    <t>DF</t>
  </si>
  <si>
    <t>Vol σ</t>
  </si>
  <si>
    <t>Phi(d1)</t>
  </si>
  <si>
    <t>Maturity T</t>
  </si>
  <si>
    <t>Phi(d2)</t>
  </si>
  <si>
    <t>phi(d1)</t>
  </si>
  <si>
    <t>Price</t>
  </si>
  <si>
    <t>Delta (∂V/∂F)</t>
  </si>
  <si>
    <t>Vega (∂V/∂σ)</t>
  </si>
  <si>
    <t>Trinomial Lattice (Recombining) — European / American</t>
  </si>
  <si>
    <t>This sheet builds a recombining trinomial tree using u=exp(σ*sqrt(3*dt)), m=1, d=1/u and risk-neutral probabilities.</t>
  </si>
  <si>
    <t>Param</t>
  </si>
  <si>
    <t>S0</t>
  </si>
  <si>
    <t>K</t>
  </si>
  <si>
    <t>r</t>
  </si>
  <si>
    <t>q</t>
  </si>
  <si>
    <t>σ</t>
  </si>
  <si>
    <t>T</t>
  </si>
  <si>
    <t>N</t>
  </si>
  <si>
    <t>dt</t>
  </si>
  <si>
    <t>u</t>
  </si>
  <si>
    <t>m</t>
  </si>
  <si>
    <t>d</t>
  </si>
  <si>
    <t>pu</t>
  </si>
  <si>
    <t>pm</t>
  </si>
  <si>
    <t>pd</t>
  </si>
  <si>
    <t>Tree Price (root V0)</t>
  </si>
  <si>
    <t>Underlying Price Tree S(t,j)</t>
  </si>
  <si>
    <t>t</t>
  </si>
  <si>
    <t>Option Value Tree V(t,j)</t>
  </si>
  <si>
    <t>Scenario &amp; P&amp;L (Black-76)</t>
  </si>
  <si>
    <t>Apply shocks to F / σ / r and compute option price change (ΔP).</t>
  </si>
  <si>
    <t>Baseline Price</t>
  </si>
  <si>
    <t>Shocked Price</t>
  </si>
  <si>
    <t>F_shock</t>
  </si>
  <si>
    <t>Shock F (%)</t>
  </si>
  <si>
    <t>σ_shock</t>
  </si>
  <si>
    <t>Shock σ (vol pts)</t>
  </si>
  <si>
    <t>r_shock</t>
  </si>
  <si>
    <t>Shock r (rate pts)</t>
  </si>
  <si>
    <t>Type</t>
  </si>
  <si>
    <t>ΔP (Shocked - Base)</t>
  </si>
  <si>
    <t>Derivatives &amp; Commodities Dashboard</t>
  </si>
  <si>
    <t>Quick KPIs</t>
  </si>
  <si>
    <t>Forward Curve</t>
  </si>
  <si>
    <t>Spot</t>
  </si>
  <si>
    <t>Forward (1Y)</t>
  </si>
  <si>
    <t>Black-76 Price</t>
  </si>
  <si>
    <t>Tree Price</t>
  </si>
  <si>
    <t>Scenario ΔP</t>
  </si>
  <si>
    <t>VBA module (paste into VBA Editor)</t>
  </si>
  <si>
    <t>Open VBA Editor (ALT+F11) → Insert → Module → paste the code below. Then assign RefreshData to a button.</t>
  </si>
  <si>
    <t>End Function</t>
  </si>
  <si>
    <t xml:space="preserve">    End If</t>
  </si>
  <si>
    <t>End Sub</t>
  </si>
  <si>
    <t>ZNHzzSJtSxh4Usy4aVrRStGsiPtXaoAiGk7fnBZb</t>
  </si>
  <si>
    <t>Raw JSON (debug)</t>
  </si>
  <si>
    <t>https://api.eia.gov/v2/petroleum/pri/spt/data/?api_key=ZNHzzSJtSxh4Usy4aVrRStGsiPtXaoAiGk7fnBZb&amp;frequency=daily&amp;data[0]=value&amp;facets[series][]=RWTC&amp;sort[0][column]=period&amp;sort[0][direction]=desc&amp;offset=0&amp;length=1</t>
  </si>
  <si>
    <t>{"warnings":[{"warning":"incomplete return","description":"The API can only return 5000 rows in JSON format.  Please consider constraining your request with facet, start, or end, or using offset to paginate results."}],"response":{"total":"34","dateFormat":"YYYY-MM-DD","frequency":"daily","data":[{"period":"2026-01-12","duoarea":"YCUOK","area-name":"NA","product":"EPCWTI","product-name":"WTI Crude Oil","process":"PF4","process-name":"Spot Price FOB","series":"RWTC","series-description":"Cushing, OK WTI Spot Price FOB (Dollars per Barrel)","value":"59.39","units":"$\/BBL"}]},"request":{"command":"\/v2\/petroleum\/pri\/spt\/data\/","params":{"api_key":"ZNHzzSJtSxh4Usy4aVrRStGsiPtXaoAiGk7fnBZb","frequency":"daily","data":["value"],"facets":{"series":["RWTC"]},"start":"2025-11-21","end":"2026-01-21","sort":[{"column":"period","direction":"desc"}],"offset":"0","length":"1"}},"apiVersion":"2.1.10","ExcelAddInVersion":"2.1.0"}</t>
  </si>
  <si>
    <t>Option Explicit 'Force la déclaration de toutes les variables (évite les fautes de frappe)</t>
  </si>
  <si>
    <t>'========================================================</t>
  </si>
  <si>
    <t>' 1) Petite fonction HTTP GET (va appeler l’API EIA)</t>
  </si>
  <si>
    <t>Private Function HttpGet(ByVal url As String, ByRef statusCode As Long) As String 'Retourne le texte JSON + renvoie le code HTTP</t>
  </si>
  <si>
    <t xml:space="preserve">    Dim http As Object 'Objet HTTP (COM)</t>
  </si>
  <si>
    <t xml:space="preserve">    Set http = CreateObject("MSXML2.XMLHTTP") 'Crée le client HTTP Windows</t>
  </si>
  <si>
    <t xml:space="preserve">    </t>
  </si>
  <si>
    <t xml:space="preserve">    http.Open "GET", url, False 'Prépare une requête GET (False = synchrone)</t>
  </si>
  <si>
    <t xml:space="preserve">    http.setRequestHeader "User-Agent", "Excel-VBA" 'Ajoute un header simple (utile sur certaines APIs)</t>
  </si>
  <si>
    <t xml:space="preserve">    http.send 'Envoie la requête</t>
  </si>
  <si>
    <t xml:space="preserve">    statusCode = http.Status 'Récupère le code HTTP (200 = OK)</t>
  </si>
  <si>
    <t xml:space="preserve">    HttpGet = http.responseText 'Récupère le contenu (ici du JSON)</t>
  </si>
  <si>
    <t>' 2) Parser SIMPLE : extrait la "value" du 1er point de data[]</t>
  </si>
  <si>
    <t>'    -&gt; On cherche la 1ère occurrence de "data":[{ ... "value": XXX ... }]</t>
  </si>
  <si>
    <t>Private Function ParseEiaLatestValue(ByVal json As String) As Double 'Renvoie la valeur (Double) trouvée</t>
  </si>
  <si>
    <t xml:space="preserve">    Dim pData As Long 'Position du bloc "data":[</t>
  </si>
  <si>
    <t xml:space="preserve">    Dim pVal As Long 'Position du champ "value":</t>
  </si>
  <si>
    <t xml:space="preserve">    Dim p As Long 'Curseur pour parcourir la chaîne</t>
  </si>
  <si>
    <t xml:space="preserve">    Dim ch As String 'Caractère courant</t>
  </si>
  <si>
    <t xml:space="preserve">    Dim s As String 'On va construire le nombre sous forme de texte</t>
  </si>
  <si>
    <t xml:space="preserve">    pData = InStr(1, json, """data""") 'Trouve où est "data" dans le JSON</t>
  </si>
  <si>
    <t xml:space="preserve">    If pData = 0 Then Exit Function 'Si pas trouvé -&gt; on sort (renvoie 0 par défaut)</t>
  </si>
  <si>
    <t xml:space="preserve">    pVal = InStr(pData, json, """value"":") 'Cherche "value": après "data"</t>
  </si>
  <si>
    <t xml:space="preserve">    If pVal = 0 Then Exit Function 'Si pas trouvé -&gt; on sort</t>
  </si>
  <si>
    <t xml:space="preserve">    p = pVal + Len("""value"":") 'Se place juste après "value":</t>
  </si>
  <si>
    <t xml:space="preserve">    s = "" 'Réinitialise la string qui va contenir le nombre</t>
  </si>
  <si>
    <t xml:space="preserve">    Do While p &lt;= Len(json) 'Tant qu’on n’a pas dépassé la longueur du JSON</t>
  </si>
  <si>
    <t xml:space="preserve">        ch = Mid$(json, p, 1) 'Lit 1 caractère à la position p</t>
  </si>
  <si>
    <t xml:space="preserve">        </t>
  </si>
  <si>
    <t xml:space="preserve">        'Accepte chiffres, point, virgule, signe moins</t>
  </si>
  <si>
    <t xml:space="preserve">        If (ch Like "[0-9]") Or (ch = ".") Or (ch = ",") Or (ch = "-") Then 'Si caractère compatible avec un nombre</t>
  </si>
  <si>
    <t xml:space="preserve">            s = s &amp; ch 'Ajoute le caractère au nombre</t>
  </si>
  <si>
    <t xml:space="preserve">            p = p + 1 'Avance d’un caractère</t>
  </si>
  <si>
    <t xml:space="preserve">        Else</t>
  </si>
  <si>
    <t xml:space="preserve">            Exit Do 'Dès qu’on tombe sur autre chose (ex: } ou ,), on stoppe la lecture du nombre</t>
  </si>
  <si>
    <t xml:space="preserve">        End If</t>
  </si>
  <si>
    <t xml:space="preserve">    Loop 'Fin de la boucle de lecture</t>
  </si>
  <si>
    <t xml:space="preserve">    s = Replace(s, ",", ".") 'Sécurise le format décimal (Excel FR peut renvoyer des virgules)</t>
  </si>
  <si>
    <t xml:space="preserve">    If Len(s) = 0 Then Exit Function 'Si vide -&gt; rien à convertir</t>
  </si>
  <si>
    <t xml:space="preserve">    ParseEiaLatestValue = CDbl(s) 'Convertit en Double et renvoie le résultat</t>
  </si>
  <si>
    <t>' 3) Macro principale : appelée par le bouton "Refresh All"</t>
  </si>
  <si>
    <t>'    - Lit la clé API en MarketData!B9</t>
  </si>
  <si>
    <t>'    - Appelle EIA pour RWTC (WTI Spot)</t>
  </si>
  <si>
    <t>'    - Met à jour MarketData (spot + date + raw json)</t>
  </si>
  <si>
    <t>'    - Copie la valeur du spot dans Inputs!B6 (si trouvé)</t>
  </si>
  <si>
    <t>Public Sub RefreshData() 'Macro à affecter au bouton</t>
  </si>
  <si>
    <t xml:space="preserve">    Dim apiKey As String 'Clé API EIA</t>
  </si>
  <si>
    <t xml:space="preserve">    Dim url As String 'URL complète de la requête</t>
  </si>
  <si>
    <t xml:space="preserve">    Dim json As String 'Réponse brute JSON</t>
  </si>
  <si>
    <t xml:space="preserve">    Dim statusCode As Long 'Code HTTP (200, 400, 401, etc.)</t>
  </si>
  <si>
    <t xml:space="preserve">    Dim spotVal As Double 'Valeur spot extraite du JSON</t>
  </si>
  <si>
    <t xml:space="preserve">    apiKey = Sheets("MarketData").Range("B9").Value 'Lit la clé API dans la cellule prévue</t>
  </si>
  <si>
    <t xml:space="preserve">    If Len(apiKey) = 0 Then 'Si la clé est vide</t>
  </si>
  <si>
    <t xml:space="preserve">        MsgBox "Enter your EIA API key in MarketData!B9 (Value cell).", vbExclamation 'Message d'erreur simple</t>
  </si>
  <si>
    <t xml:space="preserve">        Exit Sub 'Stoppe la macro</t>
  </si>
  <si>
    <t xml:space="preserve">    '--- URL EIA v2 : WTI Spot série = RWTC (EIA Petroleum spot) ---</t>
  </si>
  <si>
    <t xml:space="preserve">    'Important :</t>
  </si>
  <si>
    <t xml:space="preserve">    ' - facets[series][]=RWTC : filtre la série</t>
  </si>
  <si>
    <t xml:space="preserve">    ' - data[0]=value : on demande la colonne "value"</t>
  </si>
  <si>
    <t xml:space="preserve">    ' - sort desc + length=1 : on veut uniquement le dernier point</t>
  </si>
  <si>
    <t xml:space="preserve">    url = "https://api.eia.gov/v2/petroleum/pri/spt/data/?" &amp; _ 'Base URL + début des paramètres</t>
  </si>
  <si>
    <t xml:space="preserve">          "api_key=" &amp; apiKey &amp; _ 'Ajoute la clé API</t>
  </si>
  <si>
    <t xml:space="preserve">          "&amp;frequency=daily" &amp; _ 'Données quotidiennes</t>
  </si>
  <si>
    <t xml:space="preserve">          "&amp;data[0]=value" &amp; _ 'On ne récupère que la colonne "value"</t>
  </si>
  <si>
    <t xml:space="preserve">          "&amp;facets[series][]=RWTC" &amp; _ 'Filtre sur la série RWTC (WTI)</t>
  </si>
  <si>
    <t xml:space="preserve">          "&amp;sort[0][column]=period" &amp; _ 'Tri sur la date (period)</t>
  </si>
  <si>
    <t xml:space="preserve">          "&amp;sort[0][direction]=desc" &amp; _ 'Tri décroissant (dernier en premier)</t>
  </si>
  <si>
    <t xml:space="preserve">          "&amp;offset=0" &amp; _ 'Commence au 1er élément du tri</t>
  </si>
  <si>
    <t xml:space="preserve">          "&amp;length=1" 'Prend 1 seule ligne (le dernier point)</t>
  </si>
  <si>
    <t xml:space="preserve">    json = HttpGet(url, statusCode) 'Appelle l’API et récupère JSON + status</t>
  </si>
  <si>
    <t xml:space="preserve">    Sheets("MarketData").Range("E6").Value = Now 'Écrit la date/heure du refresh</t>
  </si>
  <si>
    <t xml:space="preserve">    Sheets("MarketData").Range("E6").NumberFormat = "yyyy-mm-dd hh:mm" 'Formate la date/heure</t>
  </si>
  <si>
    <t xml:space="preserve">    Sheets("MarketData").Range("A14").Value = json 'Stocke le JSON brut pour debug (comme tu as dans tes captures)</t>
  </si>
  <si>
    <t xml:space="preserve">    If statusCode &lt;&gt; 200 Then 'Si l’API ne renvoie pas 200</t>
  </si>
  <si>
    <t xml:space="preserve">        MsgBox "EIA API error. HTTP status: " &amp; statusCode &amp; vbCrLf &amp; _</t>
  </si>
  <si>
    <t xml:space="preserve">               "Check MarketData!A14 for details.", vbExclamation 'Message + où regarder</t>
  </si>
  <si>
    <t xml:space="preserve">    spotVal = ParseEiaLatestValue(json) 'Extrait la valeur numérique du JSON</t>
  </si>
  <si>
    <t xml:space="preserve">    If spotVal &lt;= 0 Then 'Si on n’a rien extrait</t>
  </si>
  <si>
    <t xml:space="preserve">        MsgBox "No spot value parsed. Check Raw JSON in MarketData!A14.", vbExclamation 'Message identique à celui que tu as eu</t>
  </si>
  <si>
    <t xml:space="preserve">    Sheets("MarketData").Range("B6").Value = spotVal 'Met à jour la ligne Spot sur la sheet MarketData</t>
  </si>
  <si>
    <t xml:space="preserve">    Sheets("Inputs").Range("B6").Value = spotVal 'Copie le spot dans Inputs!B6 (et tout le dashboard se met à jour via les formules)</t>
  </si>
  <si>
    <t xml:space="preserve">    'Optionnel : forcer recalcul Excel (souvent inutile car Excel recalc automatiquement)</t>
  </si>
  <si>
    <t xml:space="preserve">    Application.Calculate 'Recalcule toutes les formules</t>
  </si>
  <si>
    <t xml:space="preserve">    'Optionnel : petit message de fin (tu peux le supprimer si tu veux)</t>
  </si>
  <si>
    <t xml:space="preserve">    'MsgBox "Refresh OK. Spot updated to " &amp; spotVal, vbInformation 'Confirmation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</si>
</sst>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$#,##0.00"/>
    <numFmt numFmtId="165" formatCode="0.000000"/>
    <numFmt numFmtId="166" formatCode="0.000"/>
    <numFmt numFmtId="167" formatCode="\$#,##0.000"/>
    <numFmt numFmtId="168" formatCode="yyyy\-mm\-dd\ hh:mm"/>
  </numFmts>
  <fonts count="13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2"/>
      <name val="Calibri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b/>
      <sz val="14"/>
      <name val="Calibri"/>
      <family val="2"/>
    </font>
    <font>
      <i/>
      <sz val="11"/>
      <color rgb="FF555555"/>
      <name val="Calibri"/>
      <family val="2"/>
    </font>
    <font>
      <b/>
      <sz val="11"/>
      <color rgb="FFFFFFFF"/>
      <name val="Calibri"/>
      <family val="2"/>
    </font>
    <font>
      <b/>
      <sz val="18"/>
      <name val="Calibri"/>
      <family val="2"/>
    </font>
    <font>
      <sz val="10"/>
      <name val="Consolas"/>
      <family val="3"/>
    </font>
    <font>
      <sz val="11"/>
      <color rgb="FF008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10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7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/>
    </xf>
    <xf numFmtId="166" fontId="0" fillId="0" borderId="1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7" fillId="3" borderId="0" xfId="0" applyFont="1" applyFill="1" applyAlignment="1">
      <alignment horizontal="center" vertical="center" wrapText="1"/>
    </xf>
    <xf numFmtId="1" fontId="0" fillId="0" borderId="0" xfId="0" applyNumberFormat="1"/>
    <xf numFmtId="0" fontId="3" fillId="4" borderId="0" xfId="0" applyFont="1" applyFill="1"/>
    <xf numFmtId="167" fontId="3" fillId="0" borderId="0" xfId="0" applyNumberFormat="1" applyFont="1"/>
    <xf numFmtId="164" fontId="0" fillId="5" borderId="0" xfId="0" applyNumberFormat="1" applyFill="1"/>
    <xf numFmtId="10" fontId="0" fillId="5" borderId="0" xfId="0" applyNumberFormat="1" applyFill="1"/>
    <xf numFmtId="167" fontId="0" fillId="5" borderId="0" xfId="0" applyNumberFormat="1" applyFill="1"/>
    <xf numFmtId="0" fontId="9" fillId="0" borderId="0" xfId="0" applyFont="1"/>
    <xf numFmtId="168" fontId="10" fillId="0" borderId="1" xfId="0" applyNumberFormat="1" applyFont="1" applyBorder="1"/>
    <xf numFmtId="0" fontId="2" fillId="0" borderId="0" xfId="0" applyFont="1"/>
    <xf numFmtId="0" fontId="0" fillId="0" borderId="0" xfId="0"/>
    <xf numFmtId="0" fontId="1" fillId="0" borderId="0" xfId="0" applyFont="1"/>
    <xf numFmtId="0" fontId="6" fillId="0" borderId="0" xfId="0" applyFont="1"/>
    <xf numFmtId="0" fontId="5" fillId="0" borderId="0" xfId="0" applyFont="1"/>
    <xf numFmtId="0" fontId="8" fillId="0" borderId="0" xfId="0" applyFont="1"/>
    <xf numFmtId="0" fontId="12" fillId="0" borderId="1" xfId="1" applyBorder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FR"/>
              <a:t>Forward Curve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Foward</c:v>
          </c:tx>
          <c:cat>
            <c:strRef>
              <c:f>Forwards!$A$6:$A$11</c:f>
              <c:strCache>
                <c:ptCount val="6"/>
                <c:pt idx="0">
                  <c:v>1W</c:v>
                </c:pt>
                <c:pt idx="1">
                  <c:v>1M</c:v>
                </c:pt>
                <c:pt idx="2">
                  <c:v>3M</c:v>
                </c:pt>
                <c:pt idx="3">
                  <c:v>6M</c:v>
                </c:pt>
                <c:pt idx="4">
                  <c:v>1Y</c:v>
                </c:pt>
                <c:pt idx="5">
                  <c:v>2Y</c:v>
                </c:pt>
              </c:strCache>
            </c:strRef>
          </c:cat>
          <c:val>
            <c:numRef>
              <c:f>Forwards!$C$6:$C$11</c:f>
              <c:numCache>
                <c:formatCode>\$#\ ##0.00</c:formatCode>
                <c:ptCount val="6"/>
                <c:pt idx="0">
                  <c:v>59.424179420534308</c:v>
                </c:pt>
                <c:pt idx="1">
                  <c:v>59.536621788190956</c:v>
                </c:pt>
                <c:pt idx="2">
                  <c:v>59.837099527450867</c:v>
                </c:pt>
                <c:pt idx="3">
                  <c:v>60.287564907527546</c:v>
                </c:pt>
                <c:pt idx="4">
                  <c:v>61.198694771499369</c:v>
                </c:pt>
                <c:pt idx="5">
                  <c:v>63.062472499328912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5-421C-91E2-04E48C5AB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Tenor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Price</a:t>
                </a:r>
              </a:p>
            </c:rich>
          </c:tx>
          <c:overlay val="1"/>
        </c:title>
        <c:numFmt formatCode="\$#\ 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9125000000012"/>
          <c:y val="0.30862250000000008"/>
          <c:w val="9.3089305555555557E-2"/>
          <c:h val="0.38275500000000001"/>
        </c:manualLayout>
      </c:layout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endParaRPr lang="fr-FR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7638888888888888E-2"/>
          <c:y val="3.2564102564102561E-2"/>
          <c:w val="0.88460151515151519"/>
          <c:h val="0.94029914529914527"/>
        </c:manualLayout>
      </c:layout>
      <c:lineChart>
        <c:grouping val="standard"/>
        <c:varyColors val="1"/>
        <c:ser>
          <c:idx val="0"/>
          <c:order val="0"/>
          <c:tx>
            <c:strRef>
              <c:f>Forwards!$C$5</c:f>
              <c:strCache>
                <c:ptCount val="1"/>
                <c:pt idx="0">
                  <c:v>Forward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Forwards!$A$6:$A$11</c:f>
              <c:strCache>
                <c:ptCount val="6"/>
                <c:pt idx="0">
                  <c:v>1W</c:v>
                </c:pt>
                <c:pt idx="1">
                  <c:v>1M</c:v>
                </c:pt>
                <c:pt idx="2">
                  <c:v>3M</c:v>
                </c:pt>
                <c:pt idx="3">
                  <c:v>6M</c:v>
                </c:pt>
                <c:pt idx="4">
                  <c:v>1Y</c:v>
                </c:pt>
                <c:pt idx="5">
                  <c:v>2Y</c:v>
                </c:pt>
              </c:strCache>
            </c:strRef>
          </c:cat>
          <c:val>
            <c:numRef>
              <c:f>Forwards!$C$6:$C$11</c:f>
              <c:numCache>
                <c:formatCode>\$#\ ##0.00</c:formatCode>
                <c:ptCount val="6"/>
                <c:pt idx="0">
                  <c:v>59.424179420534308</c:v>
                </c:pt>
                <c:pt idx="1">
                  <c:v>59.536621788190956</c:v>
                </c:pt>
                <c:pt idx="2">
                  <c:v>59.837099527450867</c:v>
                </c:pt>
                <c:pt idx="3">
                  <c:v>60.287564907527546</c:v>
                </c:pt>
                <c:pt idx="4">
                  <c:v>61.198694771499369</c:v>
                </c:pt>
                <c:pt idx="5">
                  <c:v>63.062472499328912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B62-4BD3-BE7D-F54509D9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Tenor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Price</a:t>
                </a:r>
              </a:p>
            </c:rich>
          </c:tx>
          <c:overlay val="1"/>
        </c:title>
        <c:numFmt formatCode="\$#\ 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4</xdr:row>
      <xdr:rowOff>0</xdr:rowOff>
    </xdr:from>
    <xdr:ext cx="720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11</xdr:row>
          <xdr:rowOff>60960</xdr:rowOff>
        </xdr:from>
        <xdr:to>
          <xdr:col>1</xdr:col>
          <xdr:colOff>1051560</xdr:colOff>
          <xdr:row>15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api.eia.gov/v2/%20%20(EIA%20Open%20Data)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19"/>
  <sheetViews>
    <sheetView showGridLines="0" workbookViewId="0">
      <selection activeCell="D12" sqref="D12"/>
    </sheetView>
  </sheetViews>
  <sheetFormatPr baseColWidth="10" defaultColWidth="8.88671875" defaultRowHeight="14.4" x14ac:dyDescent="0.3"/>
  <cols>
    <col min="1" max="1" width="26" customWidth="1"/>
    <col min="2" max="2" width="16" customWidth="1"/>
    <col min="3" max="3" width="2" customWidth="1"/>
    <col min="4" max="5" width="18" customWidth="1"/>
  </cols>
  <sheetData>
    <row r="1" spans="1:5" ht="21" x14ac:dyDescent="0.4">
      <c r="A1" s="32" t="s">
        <v>0</v>
      </c>
      <c r="B1" s="31"/>
      <c r="C1" s="31"/>
      <c r="D1" s="31"/>
      <c r="E1" s="31"/>
    </row>
    <row r="3" spans="1:5" ht="18" customHeight="1" x14ac:dyDescent="0.3">
      <c r="A3" s="30" t="s">
        <v>1</v>
      </c>
      <c r="B3" s="31"/>
      <c r="D3" s="30" t="s">
        <v>2</v>
      </c>
      <c r="E3" s="31"/>
    </row>
    <row r="4" spans="1:5" ht="18" customHeight="1" x14ac:dyDescent="0.3"/>
    <row r="5" spans="1:5" ht="18" customHeight="1" x14ac:dyDescent="0.3">
      <c r="A5" s="2" t="s">
        <v>3</v>
      </c>
      <c r="B5" s="3" t="s">
        <v>4</v>
      </c>
      <c r="D5" s="2" t="s">
        <v>5</v>
      </c>
      <c r="E5" s="3" t="s">
        <v>6</v>
      </c>
    </row>
    <row r="6" spans="1:5" ht="18" customHeight="1" x14ac:dyDescent="0.3">
      <c r="A6" s="2" t="s">
        <v>7</v>
      </c>
      <c r="B6" s="4">
        <v>59.39</v>
      </c>
      <c r="D6" s="2" t="s">
        <v>8</v>
      </c>
      <c r="E6" s="3" t="s">
        <v>9</v>
      </c>
    </row>
    <row r="7" spans="1:5" ht="18" customHeight="1" x14ac:dyDescent="0.3">
      <c r="A7" s="2" t="s">
        <v>10</v>
      </c>
      <c r="B7" s="5">
        <v>0.04</v>
      </c>
      <c r="D7" s="2" t="s">
        <v>11</v>
      </c>
      <c r="E7" s="4">
        <v>80</v>
      </c>
    </row>
    <row r="8" spans="1:5" ht="18" customHeight="1" x14ac:dyDescent="0.3">
      <c r="A8" s="2" t="s">
        <v>12</v>
      </c>
      <c r="B8" s="5">
        <v>0.01</v>
      </c>
      <c r="D8" s="2" t="s">
        <v>13</v>
      </c>
      <c r="E8" s="6">
        <v>25</v>
      </c>
    </row>
    <row r="9" spans="1:5" ht="18" customHeight="1" x14ac:dyDescent="0.3">
      <c r="A9" s="2" t="s">
        <v>14</v>
      </c>
      <c r="B9" s="5">
        <v>0.02</v>
      </c>
    </row>
    <row r="10" spans="1:5" ht="18" customHeight="1" x14ac:dyDescent="0.3">
      <c r="A10" s="2" t="s">
        <v>15</v>
      </c>
      <c r="B10" s="5">
        <v>0</v>
      </c>
    </row>
    <row r="11" spans="1:5" ht="18" customHeight="1" x14ac:dyDescent="0.3">
      <c r="A11" s="2" t="s">
        <v>16</v>
      </c>
      <c r="B11" s="5">
        <v>0.25</v>
      </c>
    </row>
    <row r="12" spans="1:5" ht="18" customHeight="1" x14ac:dyDescent="0.3">
      <c r="A12" s="2" t="s">
        <v>17</v>
      </c>
      <c r="B12" s="7">
        <v>1</v>
      </c>
    </row>
    <row r="13" spans="1:5" ht="18" customHeight="1" x14ac:dyDescent="0.3"/>
    <row r="14" spans="1:5" ht="18" customHeight="1" x14ac:dyDescent="0.3">
      <c r="A14" s="8" t="s">
        <v>18</v>
      </c>
    </row>
    <row r="15" spans="1:5" ht="18" customHeight="1" x14ac:dyDescent="0.3">
      <c r="A15" s="2" t="s">
        <v>19</v>
      </c>
      <c r="B15" s="9">
        <f>B12/E8</f>
        <v>0.04</v>
      </c>
    </row>
    <row r="16" spans="1:5" ht="18" customHeight="1" x14ac:dyDescent="0.3">
      <c r="A16" s="2" t="s">
        <v>20</v>
      </c>
      <c r="B16" s="9">
        <f>EXP(-B7*B15)</f>
        <v>0.99840127931760636</v>
      </c>
    </row>
    <row r="17" spans="1:2" ht="18" customHeight="1" x14ac:dyDescent="0.3">
      <c r="A17" s="2" t="s">
        <v>21</v>
      </c>
      <c r="B17" s="10">
        <f>B7+B8-B9</f>
        <v>3.0000000000000002E-2</v>
      </c>
    </row>
    <row r="18" spans="1:2" ht="18" customHeight="1" x14ac:dyDescent="0.3">
      <c r="A18" s="2" t="s">
        <v>22</v>
      </c>
      <c r="B18" s="11">
        <f>B6*EXP(B17*B12)</f>
        <v>61.198694771499369</v>
      </c>
    </row>
    <row r="19" spans="1:2" ht="18" customHeight="1" x14ac:dyDescent="0.3"/>
  </sheetData>
  <mergeCells count="3">
    <mergeCell ref="A3:B3"/>
    <mergeCell ref="D3:E3"/>
    <mergeCell ref="A1:E1"/>
  </mergeCells>
  <dataValidations count="2">
    <dataValidation type="list" sqref="E5" xr:uid="{00000000-0002-0000-0000-000000000000}">
      <formula1>"Call,Put"</formula1>
    </dataValidation>
    <dataValidation type="list" sqref="E6" xr:uid="{00000000-0002-0000-0000-000001000000}">
      <formula1>"European,American"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15"/>
  <sheetViews>
    <sheetView showGridLines="0" workbookViewId="0">
      <selection activeCell="E18" sqref="E18"/>
    </sheetView>
  </sheetViews>
  <sheetFormatPr baseColWidth="10" defaultColWidth="8.88671875" defaultRowHeight="14.4" x14ac:dyDescent="0.3"/>
  <cols>
    <col min="1" max="1" width="22" customWidth="1"/>
    <col min="2" max="2" width="16" customWidth="1"/>
    <col min="3" max="3" width="10" customWidth="1"/>
    <col min="4" max="4" width="40" customWidth="1"/>
    <col min="5" max="5" width="18" customWidth="1"/>
    <col min="6" max="6" width="28" customWidth="1"/>
  </cols>
  <sheetData>
    <row r="1" spans="1:6" ht="18" x14ac:dyDescent="0.35">
      <c r="A1" s="34" t="s">
        <v>23</v>
      </c>
      <c r="B1" s="31"/>
      <c r="C1" s="31"/>
      <c r="D1" s="31"/>
      <c r="E1" s="31"/>
      <c r="F1" s="31"/>
    </row>
    <row r="3" spans="1:6" x14ac:dyDescent="0.3">
      <c r="A3" s="33" t="s">
        <v>24</v>
      </c>
      <c r="B3" s="31"/>
      <c r="C3" s="31"/>
      <c r="D3" s="31"/>
      <c r="E3" s="31"/>
      <c r="F3" s="31"/>
    </row>
    <row r="5" spans="1:6" ht="22.05" customHeight="1" x14ac:dyDescent="0.3">
      <c r="A5" s="12" t="s">
        <v>25</v>
      </c>
      <c r="B5" s="12" t="s">
        <v>26</v>
      </c>
      <c r="C5" s="12" t="s">
        <v>27</v>
      </c>
      <c r="D5" s="12" t="s">
        <v>28</v>
      </c>
      <c r="E5" s="12" t="s">
        <v>29</v>
      </c>
      <c r="F5" s="12" t="s">
        <v>30</v>
      </c>
    </row>
    <row r="6" spans="1:6" x14ac:dyDescent="0.3">
      <c r="A6" s="13" t="s">
        <v>31</v>
      </c>
      <c r="B6" s="13">
        <f>Inputs!B6</f>
        <v>59.39</v>
      </c>
      <c r="C6" s="13" t="s">
        <v>32</v>
      </c>
      <c r="D6" s="36" t="s">
        <v>33</v>
      </c>
      <c r="E6" s="29">
        <v>46042.980868055558</v>
      </c>
      <c r="F6" s="13" t="s">
        <v>34</v>
      </c>
    </row>
    <row r="7" spans="1:6" x14ac:dyDescent="0.3">
      <c r="A7" s="13" t="s">
        <v>10</v>
      </c>
      <c r="B7" s="13">
        <f>Inputs!B7</f>
        <v>0.04</v>
      </c>
      <c r="C7" s="13" t="s">
        <v>35</v>
      </c>
      <c r="D7" s="13" t="s">
        <v>36</v>
      </c>
      <c r="E7" s="13"/>
      <c r="F7" s="13"/>
    </row>
    <row r="8" spans="1:6" x14ac:dyDescent="0.3">
      <c r="A8" s="13" t="s">
        <v>16</v>
      </c>
      <c r="B8" s="13">
        <f>Inputs!B11</f>
        <v>0.25</v>
      </c>
      <c r="C8" s="13" t="s">
        <v>35</v>
      </c>
      <c r="D8" s="13" t="s">
        <v>37</v>
      </c>
      <c r="E8" s="13"/>
      <c r="F8" s="13"/>
    </row>
    <row r="9" spans="1:6" x14ac:dyDescent="0.3">
      <c r="A9" s="13" t="s">
        <v>38</v>
      </c>
      <c r="B9" t="s">
        <v>119</v>
      </c>
      <c r="C9" s="13"/>
      <c r="D9" s="13" t="s">
        <v>39</v>
      </c>
      <c r="E9" s="13"/>
      <c r="F9" s="13" t="s">
        <v>40</v>
      </c>
    </row>
    <row r="10" spans="1:6" x14ac:dyDescent="0.3">
      <c r="A10" s="13" t="s">
        <v>41</v>
      </c>
      <c r="B10" s="14"/>
      <c r="C10" s="13"/>
      <c r="D10" s="13" t="s">
        <v>42</v>
      </c>
      <c r="E10" s="13"/>
      <c r="F10" s="13" t="s">
        <v>43</v>
      </c>
    </row>
    <row r="11" spans="1:6" x14ac:dyDescent="0.3">
      <c r="A11" s="13" t="s">
        <v>44</v>
      </c>
      <c r="B11" s="13"/>
      <c r="C11" s="13"/>
      <c r="D11" s="13" t="s">
        <v>45</v>
      </c>
      <c r="E11" s="13"/>
      <c r="F11" s="13" t="s">
        <v>46</v>
      </c>
    </row>
    <row r="13" spans="1:6" x14ac:dyDescent="0.3">
      <c r="A13" t="s">
        <v>120</v>
      </c>
    </row>
    <row r="14" spans="1:6" x14ac:dyDescent="0.3">
      <c r="A14" t="s">
        <v>122</v>
      </c>
    </row>
    <row r="15" spans="1:6" x14ac:dyDescent="0.3">
      <c r="A15" t="s">
        <v>121</v>
      </c>
    </row>
  </sheetData>
  <mergeCells count="2">
    <mergeCell ref="A3:F3"/>
    <mergeCell ref="A1:F1"/>
  </mergeCells>
  <hyperlinks>
    <hyperlink ref="D6" r:id="rId1" xr:uid="{F7384B7B-6C47-48A5-84F8-D8DF8A4C4A9D}"/>
  </hyperlinks>
  <pageMargins left="0.75" right="0.75" top="1" bottom="1" header="0.5" footer="0.5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11"/>
  <sheetViews>
    <sheetView showGridLines="0" workbookViewId="0">
      <selection activeCell="C27" sqref="C27"/>
    </sheetView>
  </sheetViews>
  <sheetFormatPr baseColWidth="10" defaultColWidth="8.88671875" defaultRowHeight="14.4" x14ac:dyDescent="0.3"/>
  <cols>
    <col min="1" max="1" width="10" customWidth="1"/>
    <col min="2" max="2" width="12" customWidth="1"/>
    <col min="3" max="4" width="14" customWidth="1"/>
    <col min="5" max="5" width="24" customWidth="1"/>
  </cols>
  <sheetData>
    <row r="1" spans="1:5" ht="18" x14ac:dyDescent="0.35">
      <c r="A1" s="34" t="s">
        <v>47</v>
      </c>
      <c r="B1" s="31"/>
      <c r="C1" s="31"/>
      <c r="D1" s="31"/>
      <c r="E1" s="31"/>
    </row>
    <row r="3" spans="1:5" x14ac:dyDescent="0.3">
      <c r="A3" s="33" t="s">
        <v>48</v>
      </c>
      <c r="B3" s="31"/>
      <c r="C3" s="31"/>
      <c r="D3" s="31"/>
      <c r="E3" s="31"/>
    </row>
    <row r="5" spans="1:5" ht="22.05" customHeight="1" x14ac:dyDescent="0.3">
      <c r="A5" s="12" t="s">
        <v>49</v>
      </c>
      <c r="B5" s="12" t="s">
        <v>50</v>
      </c>
      <c r="C5" s="12" t="s">
        <v>51</v>
      </c>
      <c r="D5" s="12" t="s">
        <v>21</v>
      </c>
      <c r="E5" s="12" t="s">
        <v>30</v>
      </c>
    </row>
    <row r="6" spans="1:5" x14ac:dyDescent="0.3">
      <c r="A6" s="13" t="s">
        <v>52</v>
      </c>
      <c r="B6" s="15">
        <v>1.9178082191780819E-2</v>
      </c>
      <c r="C6" s="16">
        <f>Inputs!$B$6*EXP(Inputs!$B$17*B6)</f>
        <v>59.424179420534308</v>
      </c>
      <c r="D6" s="17">
        <f>Inputs!$B$17</f>
        <v>3.0000000000000002E-2</v>
      </c>
      <c r="E6" s="13"/>
    </row>
    <row r="7" spans="1:5" x14ac:dyDescent="0.3">
      <c r="A7" s="13" t="s">
        <v>53</v>
      </c>
      <c r="B7" s="15">
        <v>8.2191780821917804E-2</v>
      </c>
      <c r="C7" s="16">
        <f>Inputs!$B$6*EXP(Inputs!$B$17*B7)</f>
        <v>59.536621788190956</v>
      </c>
      <c r="D7" s="17">
        <f>Inputs!$B$17</f>
        <v>3.0000000000000002E-2</v>
      </c>
      <c r="E7" s="13"/>
    </row>
    <row r="8" spans="1:5" x14ac:dyDescent="0.3">
      <c r="A8" s="13" t="s">
        <v>54</v>
      </c>
      <c r="B8" s="15">
        <v>0.25</v>
      </c>
      <c r="C8" s="16">
        <f>Inputs!$B$6*EXP(Inputs!$B$17*B8)</f>
        <v>59.837099527450867</v>
      </c>
      <c r="D8" s="17">
        <f>Inputs!$B$17</f>
        <v>3.0000000000000002E-2</v>
      </c>
      <c r="E8" s="13"/>
    </row>
    <row r="9" spans="1:5" x14ac:dyDescent="0.3">
      <c r="A9" s="13" t="s">
        <v>55</v>
      </c>
      <c r="B9" s="15">
        <v>0.5</v>
      </c>
      <c r="C9" s="16">
        <f>Inputs!$B$6*EXP(Inputs!$B$17*B9)</f>
        <v>60.287564907527546</v>
      </c>
      <c r="D9" s="17">
        <f>Inputs!$B$17</f>
        <v>3.0000000000000002E-2</v>
      </c>
      <c r="E9" s="13"/>
    </row>
    <row r="10" spans="1:5" x14ac:dyDescent="0.3">
      <c r="A10" s="13" t="s">
        <v>56</v>
      </c>
      <c r="B10" s="15">
        <v>1</v>
      </c>
      <c r="C10" s="16">
        <f>Inputs!$B$6*EXP(Inputs!$B$17*B10)</f>
        <v>61.198694771499369</v>
      </c>
      <c r="D10" s="17">
        <f>Inputs!$B$17</f>
        <v>3.0000000000000002E-2</v>
      </c>
      <c r="E10" s="13"/>
    </row>
    <row r="11" spans="1:5" x14ac:dyDescent="0.3">
      <c r="A11" s="13" t="s">
        <v>57</v>
      </c>
      <c r="B11" s="15">
        <v>2</v>
      </c>
      <c r="C11" s="16">
        <f>Inputs!$B$6*EXP(Inputs!$B$17*B11)</f>
        <v>63.062472499328912</v>
      </c>
      <c r="D11" s="17">
        <f>Inputs!$B$17</f>
        <v>3.0000000000000002E-2</v>
      </c>
      <c r="E11" s="13"/>
    </row>
  </sheetData>
  <mergeCells count="2">
    <mergeCell ref="A1:E1"/>
    <mergeCell ref="A3:E3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F14"/>
  <sheetViews>
    <sheetView showGridLines="0" workbookViewId="0">
      <selection activeCell="B11" sqref="B11"/>
    </sheetView>
  </sheetViews>
  <sheetFormatPr baseColWidth="10" defaultColWidth="8.88671875" defaultRowHeight="14.4" x14ac:dyDescent="0.3"/>
  <cols>
    <col min="1" max="1" width="20" customWidth="1"/>
    <col min="2" max="2" width="16" customWidth="1"/>
    <col min="3" max="3" width="2" customWidth="1"/>
    <col min="4" max="4" width="10" customWidth="1"/>
    <col min="5" max="5" width="20" customWidth="1"/>
    <col min="6" max="6" width="2" customWidth="1"/>
  </cols>
  <sheetData>
    <row r="1" spans="1:6" ht="18" x14ac:dyDescent="0.35">
      <c r="A1" s="34" t="s">
        <v>58</v>
      </c>
      <c r="B1" s="31"/>
      <c r="C1" s="31"/>
      <c r="D1" s="31"/>
      <c r="E1" s="31"/>
      <c r="F1" s="31"/>
    </row>
    <row r="3" spans="1:6" x14ac:dyDescent="0.3">
      <c r="A3" s="33" t="s">
        <v>59</v>
      </c>
      <c r="B3" s="31"/>
      <c r="C3" s="31"/>
      <c r="D3" s="31"/>
      <c r="E3" s="31"/>
      <c r="F3" s="31"/>
    </row>
    <row r="5" spans="1:6" x14ac:dyDescent="0.3">
      <c r="A5" s="2" t="s">
        <v>60</v>
      </c>
      <c r="B5" s="11">
        <f>Inputs!B18</f>
        <v>61.198694771499369</v>
      </c>
      <c r="D5" s="2" t="s">
        <v>61</v>
      </c>
      <c r="E5">
        <f>(LN(B5/B6)+(0.5*B8^2)*B9)/(B8*SQRT(B9))</f>
        <v>-0.94660309058445091</v>
      </c>
    </row>
    <row r="6" spans="1:6" x14ac:dyDescent="0.3">
      <c r="A6" s="2" t="s">
        <v>11</v>
      </c>
      <c r="B6" s="11">
        <f>Inputs!E7</f>
        <v>80</v>
      </c>
      <c r="D6" s="2" t="s">
        <v>62</v>
      </c>
      <c r="E6">
        <f>E5-B8*SQRT(B9)</f>
        <v>-1.1966030905844509</v>
      </c>
    </row>
    <row r="7" spans="1:6" x14ac:dyDescent="0.3">
      <c r="A7" s="2" t="s">
        <v>63</v>
      </c>
      <c r="B7" s="10">
        <f>Inputs!B7</f>
        <v>0.04</v>
      </c>
      <c r="D7" s="2" t="s">
        <v>64</v>
      </c>
      <c r="E7" s="9">
        <f>EXP(-B7*B9)</f>
        <v>0.96078943915232318</v>
      </c>
    </row>
    <row r="8" spans="1:6" x14ac:dyDescent="0.3">
      <c r="A8" s="2" t="s">
        <v>65</v>
      </c>
      <c r="B8" s="10">
        <f>Inputs!B11</f>
        <v>0.25</v>
      </c>
      <c r="D8" s="2" t="s">
        <v>66</v>
      </c>
      <c r="E8">
        <f>0.5*(1+ERF(E5/SQRT(2)))</f>
        <v>0.17192053424813947</v>
      </c>
    </row>
    <row r="9" spans="1:6" x14ac:dyDescent="0.3">
      <c r="A9" s="2" t="s">
        <v>67</v>
      </c>
      <c r="B9" s="18">
        <f>Inputs!B12</f>
        <v>1</v>
      </c>
      <c r="D9" s="2" t="s">
        <v>68</v>
      </c>
      <c r="E9">
        <f>0.5*(1+ERF(E6/SQRT(2)))</f>
        <v>0.1157306476433908</v>
      </c>
    </row>
    <row r="10" spans="1:6" x14ac:dyDescent="0.3">
      <c r="A10" s="2" t="s">
        <v>5</v>
      </c>
      <c r="B10" t="str">
        <f>Inputs!E5</f>
        <v>Call</v>
      </c>
      <c r="D10" s="2" t="s">
        <v>69</v>
      </c>
      <c r="E10">
        <f>EXP(-0.5*E5^2)/SQRT(2*PI())</f>
        <v>0.25487877506590162</v>
      </c>
    </row>
    <row r="12" spans="1:6" x14ac:dyDescent="0.3">
      <c r="A12" s="2" t="s">
        <v>70</v>
      </c>
      <c r="B12" s="19">
        <f>IF(B10="Call", E7*(B5*E8-B6*E9), E7*(B6*(1-E9)-B5*(1-E8)))</f>
        <v>1.2133430208902642</v>
      </c>
    </row>
    <row r="13" spans="1:6" x14ac:dyDescent="0.3">
      <c r="A13" s="2" t="s">
        <v>71</v>
      </c>
      <c r="B13" s="20">
        <f>IF(B10="Call", E7*E8, -E7*(1-E8))</f>
        <v>0.16517943367903767</v>
      </c>
    </row>
    <row r="14" spans="1:6" x14ac:dyDescent="0.3">
      <c r="A14" s="2" t="s">
        <v>72</v>
      </c>
      <c r="B14" s="19">
        <f>E7*B5*E10*SQRT(B9)</f>
        <v>14.986632292594335</v>
      </c>
    </row>
  </sheetData>
  <mergeCells count="2">
    <mergeCell ref="A3:F3"/>
    <mergeCell ref="A1:F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Z78"/>
  <sheetViews>
    <sheetView showGridLines="0" workbookViewId="0">
      <pane xSplit="2" ySplit="24" topLeftCell="C52" activePane="bottomRight" state="frozen"/>
      <selection pane="topRight"/>
      <selection pane="bottomLeft"/>
      <selection pane="bottomRight" activeCell="E6" sqref="E6"/>
    </sheetView>
  </sheetViews>
  <sheetFormatPr baseColWidth="10" defaultColWidth="8.88671875" defaultRowHeight="14.4" x14ac:dyDescent="0.3"/>
  <cols>
    <col min="1" max="1" width="19.21875" customWidth="1"/>
    <col min="2" max="2" width="12.33203125" customWidth="1"/>
    <col min="3" max="3" width="4.21875" customWidth="1"/>
    <col min="4" max="5" width="14" customWidth="1"/>
    <col min="6" max="26" width="1.109375" customWidth="1"/>
    <col min="27" max="27" width="10.44140625" customWidth="1"/>
    <col min="28" max="31" width="10.21875" customWidth="1"/>
    <col min="32" max="52" width="4.21875" customWidth="1"/>
  </cols>
  <sheetData>
    <row r="1" spans="1:31" ht="18" x14ac:dyDescent="0.35">
      <c r="A1" s="34" t="s">
        <v>73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3" spans="1:31" x14ac:dyDescent="0.3">
      <c r="A3" s="33" t="s">
        <v>74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</row>
    <row r="5" spans="1:31" ht="72" x14ac:dyDescent="0.3">
      <c r="A5" s="21" t="s">
        <v>75</v>
      </c>
      <c r="B5" s="21" t="s">
        <v>26</v>
      </c>
      <c r="D5" s="2" t="s">
        <v>5</v>
      </c>
      <c r="E5" s="3" t="str">
        <f>Inputs!E5</f>
        <v>Call</v>
      </c>
    </row>
    <row r="6" spans="1:31" x14ac:dyDescent="0.3">
      <c r="A6" t="s">
        <v>76</v>
      </c>
      <c r="B6" s="11">
        <f>Inputs!B6</f>
        <v>59.39</v>
      </c>
      <c r="D6" s="2" t="s">
        <v>8</v>
      </c>
      <c r="E6" s="3" t="str">
        <f>Inputs!E6</f>
        <v>European</v>
      </c>
    </row>
    <row r="7" spans="1:31" x14ac:dyDescent="0.3">
      <c r="A7" t="s">
        <v>77</v>
      </c>
      <c r="B7" s="11">
        <f>Inputs!E7</f>
        <v>80</v>
      </c>
    </row>
    <row r="8" spans="1:31" x14ac:dyDescent="0.3">
      <c r="A8" t="s">
        <v>78</v>
      </c>
      <c r="B8" s="10">
        <f>Inputs!B7</f>
        <v>0.04</v>
      </c>
      <c r="AC8">
        <f>B6*(B15^2)</f>
        <v>70.621239553203935</v>
      </c>
    </row>
    <row r="9" spans="1:31" x14ac:dyDescent="0.3">
      <c r="A9" t="s">
        <v>79</v>
      </c>
      <c r="B9" s="10">
        <f>Inputs!B10</f>
        <v>0</v>
      </c>
    </row>
    <row r="10" spans="1:31" x14ac:dyDescent="0.3">
      <c r="A10" t="s">
        <v>80</v>
      </c>
      <c r="B10" s="10">
        <f>Inputs!B11</f>
        <v>0.25</v>
      </c>
      <c r="AB10">
        <f>B6*B15</f>
        <v>64.762608170647212</v>
      </c>
    </row>
    <row r="11" spans="1:31" x14ac:dyDescent="0.3">
      <c r="A11" t="s">
        <v>81</v>
      </c>
      <c r="B11" s="18">
        <f>Inputs!B12</f>
        <v>1</v>
      </c>
    </row>
    <row r="12" spans="1:31" x14ac:dyDescent="0.3">
      <c r="A12" t="s">
        <v>82</v>
      </c>
      <c r="B12" s="22">
        <f>Inputs!E8</f>
        <v>25</v>
      </c>
      <c r="AA12" s="11">
        <f>B6</f>
        <v>59.39</v>
      </c>
      <c r="AB12" s="11">
        <f>$B$6</f>
        <v>59.39</v>
      </c>
      <c r="AC12" s="11">
        <f t="shared" ref="AC12" si="0">$B$6</f>
        <v>59.39</v>
      </c>
      <c r="AD12" s="11"/>
      <c r="AE12" s="11"/>
    </row>
    <row r="13" spans="1:31" x14ac:dyDescent="0.3">
      <c r="A13" t="s">
        <v>83</v>
      </c>
      <c r="B13" s="9">
        <f>Inputs!B15</f>
        <v>0.04</v>
      </c>
    </row>
    <row r="14" spans="1:31" x14ac:dyDescent="0.3">
      <c r="A14" t="s">
        <v>64</v>
      </c>
      <c r="B14" s="9">
        <f>Inputs!B16</f>
        <v>0.99840127931760636</v>
      </c>
      <c r="AB14">
        <f>B6/B15</f>
        <v>54.463095289584764</v>
      </c>
    </row>
    <row r="15" spans="1:31" x14ac:dyDescent="0.3">
      <c r="A15" t="s">
        <v>84</v>
      </c>
      <c r="B15" s="9">
        <f>EXP(B10*SQRT(3*B13))</f>
        <v>1.0904631784921235</v>
      </c>
      <c r="AC15">
        <f>B6/(B15^2)</f>
        <v>49.944919153433069</v>
      </c>
    </row>
    <row r="16" spans="1:31" x14ac:dyDescent="0.3">
      <c r="A16" t="s">
        <v>85</v>
      </c>
      <c r="B16">
        <v>1</v>
      </c>
    </row>
    <row r="17" spans="1:52" x14ac:dyDescent="0.3">
      <c r="A17" t="s">
        <v>86</v>
      </c>
      <c r="B17" s="9">
        <f>1/B15</f>
        <v>0.91704151017990843</v>
      </c>
    </row>
    <row r="18" spans="1:52" x14ac:dyDescent="0.3">
      <c r="A18" t="s">
        <v>87</v>
      </c>
      <c r="B18" s="9">
        <f>1/6 + ((B8-B9-0.5*B10^2)*SQRT(B13))/(2*B10*SQRT(3))</f>
        <v>0.16868739260883034</v>
      </c>
    </row>
    <row r="19" spans="1:52" x14ac:dyDescent="0.3">
      <c r="A19" t="s">
        <v>88</v>
      </c>
      <c r="B19" s="9">
        <f>2/3</f>
        <v>0.66666666666666663</v>
      </c>
    </row>
    <row r="20" spans="1:52" x14ac:dyDescent="0.3">
      <c r="A20" t="s">
        <v>89</v>
      </c>
      <c r="B20" s="9">
        <f>1-B18-B19</f>
        <v>0.164645940724503</v>
      </c>
    </row>
    <row r="21" spans="1:52" x14ac:dyDescent="0.3">
      <c r="A21" s="2" t="s">
        <v>90</v>
      </c>
      <c r="B21" s="19">
        <f>AA53</f>
        <v>1.3360241348305477</v>
      </c>
    </row>
    <row r="22" spans="1:52" x14ac:dyDescent="0.3">
      <c r="A22" s="8" t="s">
        <v>91</v>
      </c>
    </row>
    <row r="23" spans="1:52" x14ac:dyDescent="0.3">
      <c r="A23" s="21" t="s">
        <v>92</v>
      </c>
      <c r="B23" s="21">
        <v>-25</v>
      </c>
      <c r="C23" s="21">
        <v>-24</v>
      </c>
      <c r="D23" s="21">
        <v>-23</v>
      </c>
      <c r="E23" s="21">
        <v>-22</v>
      </c>
      <c r="F23" s="21">
        <v>-21</v>
      </c>
      <c r="G23" s="21">
        <v>-20</v>
      </c>
      <c r="H23" s="21">
        <v>-19</v>
      </c>
      <c r="I23" s="21">
        <v>-18</v>
      </c>
      <c r="J23" s="21">
        <v>-17</v>
      </c>
      <c r="K23" s="21">
        <v>-16</v>
      </c>
      <c r="L23" s="21">
        <v>-15</v>
      </c>
      <c r="M23" s="21">
        <v>-14</v>
      </c>
      <c r="N23" s="21">
        <v>-13</v>
      </c>
      <c r="O23" s="21">
        <v>-12</v>
      </c>
      <c r="P23" s="21">
        <v>-11</v>
      </c>
      <c r="Q23" s="21">
        <v>-10</v>
      </c>
      <c r="R23" s="21">
        <v>-9</v>
      </c>
      <c r="S23" s="21">
        <v>-8</v>
      </c>
      <c r="T23" s="21">
        <v>-7</v>
      </c>
      <c r="U23" s="21">
        <v>-6</v>
      </c>
      <c r="V23" s="21">
        <v>-5</v>
      </c>
      <c r="W23" s="21">
        <v>-4</v>
      </c>
      <c r="X23" s="21">
        <v>-3</v>
      </c>
      <c r="Y23" s="21">
        <v>-2</v>
      </c>
      <c r="Z23" s="21">
        <v>-1</v>
      </c>
      <c r="AA23" s="21">
        <v>0</v>
      </c>
      <c r="AB23" s="21">
        <v>1</v>
      </c>
      <c r="AC23" s="21">
        <v>2</v>
      </c>
      <c r="AD23" s="21">
        <v>3</v>
      </c>
      <c r="AE23" s="21">
        <v>4</v>
      </c>
      <c r="AF23" s="21">
        <v>5</v>
      </c>
      <c r="AG23" s="21">
        <v>6</v>
      </c>
      <c r="AH23" s="21">
        <v>7</v>
      </c>
      <c r="AI23" s="21">
        <v>8</v>
      </c>
      <c r="AJ23" s="21">
        <v>9</v>
      </c>
      <c r="AK23" s="21">
        <v>10</v>
      </c>
      <c r="AL23" s="21">
        <v>11</v>
      </c>
      <c r="AM23" s="21">
        <v>12</v>
      </c>
      <c r="AN23" s="21">
        <v>13</v>
      </c>
      <c r="AO23" s="21">
        <v>14</v>
      </c>
      <c r="AP23" s="21">
        <v>15</v>
      </c>
      <c r="AQ23" s="21">
        <v>16</v>
      </c>
      <c r="AR23" s="21">
        <v>17</v>
      </c>
      <c r="AS23" s="21">
        <v>18</v>
      </c>
      <c r="AT23" s="21">
        <v>19</v>
      </c>
      <c r="AU23" s="21">
        <v>20</v>
      </c>
      <c r="AV23" s="21">
        <v>21</v>
      </c>
      <c r="AW23" s="21">
        <v>22</v>
      </c>
      <c r="AX23" s="21">
        <v>23</v>
      </c>
      <c r="AY23" s="21">
        <v>24</v>
      </c>
      <c r="AZ23" s="21">
        <v>25</v>
      </c>
    </row>
    <row r="24" spans="1:52" x14ac:dyDescent="0.3">
      <c r="A24">
        <v>0</v>
      </c>
      <c r="AA24">
        <f t="shared" ref="AA24:AA49" si="1">$B$6*($B$15^0)</f>
        <v>59.39</v>
      </c>
    </row>
    <row r="25" spans="1:52" x14ac:dyDescent="0.3">
      <c r="A25">
        <v>1</v>
      </c>
      <c r="Z25">
        <f t="shared" ref="Z25:Z49" si="2">$B$6*($B$15^-1)</f>
        <v>54.463095289584764</v>
      </c>
      <c r="AA25">
        <f t="shared" si="1"/>
        <v>59.39</v>
      </c>
      <c r="AB25">
        <f t="shared" ref="AB25:AB49" si="3">$B$6*($B$15^1)</f>
        <v>64.762608170647212</v>
      </c>
    </row>
    <row r="26" spans="1:52" x14ac:dyDescent="0.3">
      <c r="A26">
        <v>2</v>
      </c>
      <c r="Y26">
        <f t="shared" ref="Y26:Y49" si="4">$B$6*($B$15^-2)</f>
        <v>49.944919153433069</v>
      </c>
      <c r="Z26">
        <f t="shared" si="2"/>
        <v>54.463095289584764</v>
      </c>
      <c r="AA26">
        <f t="shared" si="1"/>
        <v>59.39</v>
      </c>
      <c r="AB26">
        <f t="shared" si="3"/>
        <v>64.762608170647212</v>
      </c>
      <c r="AC26">
        <f t="shared" ref="AC26:AC49" si="5">$B$6*($B$15^2)</f>
        <v>70.621239553203935</v>
      </c>
    </row>
    <row r="27" spans="1:52" x14ac:dyDescent="0.3">
      <c r="A27">
        <v>3</v>
      </c>
      <c r="X27">
        <f t="shared" ref="X27:X49" si="6">$B$6*($B$15^-3)</f>
        <v>45.801564086277693</v>
      </c>
      <c r="Y27">
        <f t="shared" si="4"/>
        <v>49.944919153433069</v>
      </c>
      <c r="Z27">
        <f t="shared" si="2"/>
        <v>54.463095289584764</v>
      </c>
      <c r="AA27">
        <f t="shared" si="1"/>
        <v>59.39</v>
      </c>
      <c r="AB27">
        <f t="shared" si="3"/>
        <v>64.762608170647212</v>
      </c>
      <c r="AC27">
        <f t="shared" si="5"/>
        <v>70.621239553203935</v>
      </c>
      <c r="AD27">
        <f t="shared" ref="AD27:AD49" si="7">$B$6*($B$15^3)</f>
        <v>77.009861352240435</v>
      </c>
    </row>
    <row r="28" spans="1:52" x14ac:dyDescent="0.3">
      <c r="A28">
        <v>4</v>
      </c>
      <c r="W28">
        <f t="shared" ref="W28:W49" si="8">$B$6*($B$15^-4)</f>
        <v>42.001935498281952</v>
      </c>
      <c r="X28">
        <f t="shared" si="6"/>
        <v>45.801564086277693</v>
      </c>
      <c r="Y28">
        <f t="shared" si="4"/>
        <v>49.944919153433069</v>
      </c>
      <c r="Z28">
        <f t="shared" si="2"/>
        <v>54.463095289584764</v>
      </c>
      <c r="AA28">
        <f t="shared" si="1"/>
        <v>59.39</v>
      </c>
      <c r="AB28">
        <f t="shared" si="3"/>
        <v>64.762608170647212</v>
      </c>
      <c r="AC28">
        <f t="shared" si="5"/>
        <v>70.621239553203935</v>
      </c>
      <c r="AD28">
        <f t="shared" si="7"/>
        <v>77.009861352240435</v>
      </c>
      <c r="AE28">
        <f t="shared" ref="AE28:AE49" si="9">$B$6*($B$15^4)</f>
        <v>83.976418185401855</v>
      </c>
    </row>
    <row r="29" spans="1:52" x14ac:dyDescent="0.3">
      <c r="A29">
        <v>5</v>
      </c>
      <c r="V29">
        <f t="shared" ref="V29:V49" si="10">$B$6*($B$15^-5)</f>
        <v>38.517518359823583</v>
      </c>
      <c r="W29">
        <f t="shared" si="8"/>
        <v>42.001935498281952</v>
      </c>
      <c r="X29">
        <f t="shared" si="6"/>
        <v>45.801564086277693</v>
      </c>
      <c r="Y29">
        <f t="shared" si="4"/>
        <v>49.944919153433069</v>
      </c>
      <c r="Z29">
        <f t="shared" si="2"/>
        <v>54.463095289584764</v>
      </c>
      <c r="AA29">
        <f t="shared" si="1"/>
        <v>59.39</v>
      </c>
      <c r="AB29">
        <f t="shared" si="3"/>
        <v>64.762608170647212</v>
      </c>
      <c r="AC29">
        <f t="shared" si="5"/>
        <v>70.621239553203935</v>
      </c>
      <c r="AD29">
        <f t="shared" si="7"/>
        <v>77.009861352240435</v>
      </c>
      <c r="AE29">
        <f t="shared" si="9"/>
        <v>83.976418185401855</v>
      </c>
      <c r="AF29">
        <f t="shared" ref="AF29:AF49" si="11">$B$6*($B$15^5)</f>
        <v>91.573191892837059</v>
      </c>
    </row>
    <row r="30" spans="1:52" x14ac:dyDescent="0.3">
      <c r="A30">
        <v>6</v>
      </c>
      <c r="U30">
        <f t="shared" ref="U30:U49" si="12">$B$6*($B$15^-6)</f>
        <v>35.322163205074972</v>
      </c>
      <c r="V30">
        <f t="shared" si="10"/>
        <v>38.517518359823583</v>
      </c>
      <c r="W30">
        <f t="shared" si="8"/>
        <v>42.001935498281952</v>
      </c>
      <c r="X30">
        <f t="shared" si="6"/>
        <v>45.801564086277693</v>
      </c>
      <c r="Y30">
        <f t="shared" si="4"/>
        <v>49.944919153433069</v>
      </c>
      <c r="Z30">
        <f t="shared" si="2"/>
        <v>54.463095289584764</v>
      </c>
      <c r="AA30">
        <f t="shared" si="1"/>
        <v>59.39</v>
      </c>
      <c r="AB30">
        <f t="shared" si="3"/>
        <v>64.762608170647212</v>
      </c>
      <c r="AC30">
        <f t="shared" si="5"/>
        <v>70.621239553203935</v>
      </c>
      <c r="AD30">
        <f t="shared" si="7"/>
        <v>77.009861352240435</v>
      </c>
      <c r="AE30">
        <f t="shared" si="9"/>
        <v>83.976418185401855</v>
      </c>
      <c r="AF30">
        <f t="shared" si="11"/>
        <v>91.573191892837059</v>
      </c>
      <c r="AG30">
        <f t="shared" ref="AG30:AG49" si="13">$B$6*($B$15^6)</f>
        <v>99.857193896132259</v>
      </c>
    </row>
    <row r="31" spans="1:52" x14ac:dyDescent="0.3">
      <c r="A31">
        <v>7</v>
      </c>
      <c r="T31">
        <f t="shared" ref="T31:T49" si="14">$B$6*($B$15^-7)</f>
        <v>32.391889888403149</v>
      </c>
      <c r="U31">
        <f t="shared" si="12"/>
        <v>35.322163205074972</v>
      </c>
      <c r="V31">
        <f t="shared" si="10"/>
        <v>38.517518359823583</v>
      </c>
      <c r="W31">
        <f t="shared" si="8"/>
        <v>42.001935498281952</v>
      </c>
      <c r="X31">
        <f t="shared" si="6"/>
        <v>45.801564086277693</v>
      </c>
      <c r="Y31">
        <f t="shared" si="4"/>
        <v>49.944919153433069</v>
      </c>
      <c r="Z31">
        <f t="shared" si="2"/>
        <v>54.463095289584764</v>
      </c>
      <c r="AA31">
        <f t="shared" si="1"/>
        <v>59.39</v>
      </c>
      <c r="AB31">
        <f t="shared" si="3"/>
        <v>64.762608170647212</v>
      </c>
      <c r="AC31">
        <f t="shared" si="5"/>
        <v>70.621239553203935</v>
      </c>
      <c r="AD31">
        <f t="shared" si="7"/>
        <v>77.009861352240435</v>
      </c>
      <c r="AE31">
        <f t="shared" si="9"/>
        <v>83.976418185401855</v>
      </c>
      <c r="AF31">
        <f t="shared" si="11"/>
        <v>91.573191892837059</v>
      </c>
      <c r="AG31">
        <f t="shared" si="13"/>
        <v>99.857193896132259</v>
      </c>
      <c r="AH31">
        <f t="shared" ref="AH31:AH49" si="15">$B$6*($B$15^7)</f>
        <v>108.89059305128066</v>
      </c>
    </row>
    <row r="32" spans="1:52" x14ac:dyDescent="0.3">
      <c r="A32">
        <v>8</v>
      </c>
      <c r="S32">
        <f t="shared" ref="S32:S49" si="16">$B$6*($B$15^-8)</f>
        <v>29.70470762084253</v>
      </c>
      <c r="T32">
        <f t="shared" si="14"/>
        <v>32.391889888403149</v>
      </c>
      <c r="U32">
        <f t="shared" si="12"/>
        <v>35.322163205074972</v>
      </c>
      <c r="V32">
        <f t="shared" si="10"/>
        <v>38.517518359823583</v>
      </c>
      <c r="W32">
        <f t="shared" si="8"/>
        <v>42.001935498281952</v>
      </c>
      <c r="X32">
        <f t="shared" si="6"/>
        <v>45.801564086277693</v>
      </c>
      <c r="Y32">
        <f t="shared" si="4"/>
        <v>49.944919153433069</v>
      </c>
      <c r="Z32">
        <f t="shared" si="2"/>
        <v>54.463095289584764</v>
      </c>
      <c r="AA32">
        <f t="shared" si="1"/>
        <v>59.39</v>
      </c>
      <c r="AB32">
        <f t="shared" si="3"/>
        <v>64.762608170647212</v>
      </c>
      <c r="AC32">
        <f t="shared" si="5"/>
        <v>70.621239553203935</v>
      </c>
      <c r="AD32">
        <f t="shared" si="7"/>
        <v>77.009861352240435</v>
      </c>
      <c r="AE32">
        <f t="shared" si="9"/>
        <v>83.976418185401855</v>
      </c>
      <c r="AF32">
        <f t="shared" si="11"/>
        <v>91.573191892837059</v>
      </c>
      <c r="AG32">
        <f t="shared" si="13"/>
        <v>99.857193896132259</v>
      </c>
      <c r="AH32">
        <f t="shared" si="15"/>
        <v>108.89059305128066</v>
      </c>
      <c r="AI32">
        <f t="shared" ref="AI32:AI49" si="17">$B$6*($B$15^8)</f>
        <v>118.74118220659186</v>
      </c>
    </row>
    <row r="33" spans="1:51" x14ac:dyDescent="0.3">
      <c r="A33">
        <v>9</v>
      </c>
      <c r="R33">
        <f t="shared" ref="R33:R49" si="18">$B$6*($B$15^-9)</f>
        <v>27.240449936070068</v>
      </c>
      <c r="S33">
        <f t="shared" si="16"/>
        <v>29.70470762084253</v>
      </c>
      <c r="T33">
        <f t="shared" si="14"/>
        <v>32.391889888403149</v>
      </c>
      <c r="U33">
        <f t="shared" si="12"/>
        <v>35.322163205074972</v>
      </c>
      <c r="V33">
        <f t="shared" si="10"/>
        <v>38.517518359823583</v>
      </c>
      <c r="W33">
        <f t="shared" si="8"/>
        <v>42.001935498281952</v>
      </c>
      <c r="X33">
        <f t="shared" si="6"/>
        <v>45.801564086277693</v>
      </c>
      <c r="Y33">
        <f t="shared" si="4"/>
        <v>49.944919153433069</v>
      </c>
      <c r="Z33">
        <f t="shared" si="2"/>
        <v>54.463095289584764</v>
      </c>
      <c r="AA33">
        <f t="shared" si="1"/>
        <v>59.39</v>
      </c>
      <c r="AB33">
        <f t="shared" si="3"/>
        <v>64.762608170647212</v>
      </c>
      <c r="AC33">
        <f t="shared" si="5"/>
        <v>70.621239553203935</v>
      </c>
      <c r="AD33">
        <f t="shared" si="7"/>
        <v>77.009861352240435</v>
      </c>
      <c r="AE33">
        <f t="shared" si="9"/>
        <v>83.976418185401855</v>
      </c>
      <c r="AF33">
        <f t="shared" si="11"/>
        <v>91.573191892837059</v>
      </c>
      <c r="AG33">
        <f t="shared" si="13"/>
        <v>99.857193896132259</v>
      </c>
      <c r="AH33">
        <f t="shared" si="15"/>
        <v>108.89059305128066</v>
      </c>
      <c r="AI33">
        <f t="shared" si="17"/>
        <v>118.74118220659186</v>
      </c>
      <c r="AJ33">
        <f t="shared" ref="AJ33:AJ49" si="19">$B$6*($B$15^9)</f>
        <v>129.48288696691253</v>
      </c>
    </row>
    <row r="34" spans="1:51" x14ac:dyDescent="0.3">
      <c r="A34">
        <v>10</v>
      </c>
      <c r="Q34">
        <f t="shared" ref="Q34:Q49" si="20">$B$6*($B$15^-10)</f>
        <v>24.980623347353884</v>
      </c>
      <c r="R34">
        <f t="shared" si="18"/>
        <v>27.240449936070068</v>
      </c>
      <c r="S34">
        <f t="shared" si="16"/>
        <v>29.70470762084253</v>
      </c>
      <c r="T34">
        <f t="shared" si="14"/>
        <v>32.391889888403149</v>
      </c>
      <c r="U34">
        <f t="shared" si="12"/>
        <v>35.322163205074972</v>
      </c>
      <c r="V34">
        <f t="shared" si="10"/>
        <v>38.517518359823583</v>
      </c>
      <c r="W34">
        <f t="shared" si="8"/>
        <v>42.001935498281952</v>
      </c>
      <c r="X34">
        <f t="shared" si="6"/>
        <v>45.801564086277693</v>
      </c>
      <c r="Y34">
        <f t="shared" si="4"/>
        <v>49.944919153433069</v>
      </c>
      <c r="Z34">
        <f t="shared" si="2"/>
        <v>54.463095289584764</v>
      </c>
      <c r="AA34">
        <f t="shared" si="1"/>
        <v>59.39</v>
      </c>
      <c r="AB34">
        <f t="shared" si="3"/>
        <v>64.762608170647212</v>
      </c>
      <c r="AC34">
        <f t="shared" si="5"/>
        <v>70.621239553203935</v>
      </c>
      <c r="AD34">
        <f t="shared" si="7"/>
        <v>77.009861352240435</v>
      </c>
      <c r="AE34">
        <f t="shared" si="9"/>
        <v>83.976418185401855</v>
      </c>
      <c r="AF34">
        <f t="shared" si="11"/>
        <v>91.573191892837059</v>
      </c>
      <c r="AG34">
        <f t="shared" si="13"/>
        <v>99.857193896132259</v>
      </c>
      <c r="AH34">
        <f t="shared" si="15"/>
        <v>108.89059305128066</v>
      </c>
      <c r="AI34">
        <f t="shared" si="17"/>
        <v>118.74118220659186</v>
      </c>
      <c r="AJ34">
        <f t="shared" si="19"/>
        <v>129.48288696691253</v>
      </c>
      <c r="AK34">
        <f t="shared" ref="AK34:AK49" si="21">$B$6*($B$15^10)</f>
        <v>141.19632048227578</v>
      </c>
    </row>
    <row r="35" spans="1:51" x14ac:dyDescent="0.3">
      <c r="A35">
        <v>11</v>
      </c>
      <c r="P35">
        <f t="shared" ref="P35:P49" si="22">$B$6*($B$15^-11)</f>
        <v>22.908268559692889</v>
      </c>
      <c r="Q35">
        <f t="shared" si="20"/>
        <v>24.980623347353884</v>
      </c>
      <c r="R35">
        <f t="shared" si="18"/>
        <v>27.240449936070068</v>
      </c>
      <c r="S35">
        <f t="shared" si="16"/>
        <v>29.70470762084253</v>
      </c>
      <c r="T35">
        <f t="shared" si="14"/>
        <v>32.391889888403149</v>
      </c>
      <c r="U35">
        <f t="shared" si="12"/>
        <v>35.322163205074972</v>
      </c>
      <c r="V35">
        <f t="shared" si="10"/>
        <v>38.517518359823583</v>
      </c>
      <c r="W35">
        <f t="shared" si="8"/>
        <v>42.001935498281952</v>
      </c>
      <c r="X35">
        <f t="shared" si="6"/>
        <v>45.801564086277693</v>
      </c>
      <c r="Y35">
        <f t="shared" si="4"/>
        <v>49.944919153433069</v>
      </c>
      <c r="Z35">
        <f t="shared" si="2"/>
        <v>54.463095289584764</v>
      </c>
      <c r="AA35">
        <f t="shared" si="1"/>
        <v>59.39</v>
      </c>
      <c r="AB35">
        <f t="shared" si="3"/>
        <v>64.762608170647212</v>
      </c>
      <c r="AC35">
        <f t="shared" si="5"/>
        <v>70.621239553203935</v>
      </c>
      <c r="AD35">
        <f t="shared" si="7"/>
        <v>77.009861352240435</v>
      </c>
      <c r="AE35">
        <f t="shared" si="9"/>
        <v>83.976418185401855</v>
      </c>
      <c r="AF35">
        <f t="shared" si="11"/>
        <v>91.573191892837059</v>
      </c>
      <c r="AG35">
        <f t="shared" si="13"/>
        <v>99.857193896132259</v>
      </c>
      <c r="AH35">
        <f t="shared" si="15"/>
        <v>108.89059305128066</v>
      </c>
      <c r="AI35">
        <f t="shared" si="17"/>
        <v>118.74118220659186</v>
      </c>
      <c r="AJ35">
        <f t="shared" si="19"/>
        <v>129.48288696691253</v>
      </c>
      <c r="AK35">
        <f t="shared" si="21"/>
        <v>141.19632048227578</v>
      </c>
      <c r="AL35">
        <f t="shared" ref="AL35:AL49" si="23">$B$6*($B$15^11)</f>
        <v>153.96938842449498</v>
      </c>
    </row>
    <row r="36" spans="1:51" x14ac:dyDescent="0.3">
      <c r="A36">
        <v>12</v>
      </c>
      <c r="O36">
        <f t="shared" ref="O36:O49" si="24">$B$6*($B$15^-12)</f>
        <v>21.007833195587676</v>
      </c>
      <c r="P36">
        <f t="shared" si="22"/>
        <v>22.908268559692889</v>
      </c>
      <c r="Q36">
        <f t="shared" si="20"/>
        <v>24.980623347353884</v>
      </c>
      <c r="R36">
        <f t="shared" si="18"/>
        <v>27.240449936070068</v>
      </c>
      <c r="S36">
        <f t="shared" si="16"/>
        <v>29.70470762084253</v>
      </c>
      <c r="T36">
        <f t="shared" si="14"/>
        <v>32.391889888403149</v>
      </c>
      <c r="U36">
        <f t="shared" si="12"/>
        <v>35.322163205074972</v>
      </c>
      <c r="V36">
        <f t="shared" si="10"/>
        <v>38.517518359823583</v>
      </c>
      <c r="W36">
        <f t="shared" si="8"/>
        <v>42.001935498281952</v>
      </c>
      <c r="X36">
        <f t="shared" si="6"/>
        <v>45.801564086277693</v>
      </c>
      <c r="Y36">
        <f t="shared" si="4"/>
        <v>49.944919153433069</v>
      </c>
      <c r="Z36">
        <f t="shared" si="2"/>
        <v>54.463095289584764</v>
      </c>
      <c r="AA36">
        <f t="shared" si="1"/>
        <v>59.39</v>
      </c>
      <c r="AB36">
        <f t="shared" si="3"/>
        <v>64.762608170647212</v>
      </c>
      <c r="AC36">
        <f t="shared" si="5"/>
        <v>70.621239553203935</v>
      </c>
      <c r="AD36">
        <f t="shared" si="7"/>
        <v>77.009861352240435</v>
      </c>
      <c r="AE36">
        <f t="shared" si="9"/>
        <v>83.976418185401855</v>
      </c>
      <c r="AF36">
        <f t="shared" si="11"/>
        <v>91.573191892837059</v>
      </c>
      <c r="AG36">
        <f t="shared" si="13"/>
        <v>99.857193896132259</v>
      </c>
      <c r="AH36">
        <f t="shared" si="15"/>
        <v>108.89059305128066</v>
      </c>
      <c r="AI36">
        <f t="shared" si="17"/>
        <v>118.74118220659186</v>
      </c>
      <c r="AJ36">
        <f t="shared" si="19"/>
        <v>129.48288696691253</v>
      </c>
      <c r="AK36">
        <f t="shared" si="21"/>
        <v>141.19632048227578</v>
      </c>
      <c r="AL36">
        <f t="shared" si="23"/>
        <v>153.96938842449498</v>
      </c>
      <c r="AM36">
        <f t="shared" ref="AM36:AM49" si="25">$B$6*($B$15^12)</f>
        <v>167.89794869186318</v>
      </c>
    </row>
    <row r="37" spans="1:51" x14ac:dyDescent="0.3">
      <c r="A37">
        <v>13</v>
      </c>
      <c r="N37">
        <f t="shared" ref="N37:N49" si="26">$B$6*($B$15^-13)</f>
        <v>19.265055079289336</v>
      </c>
      <c r="O37">
        <f t="shared" si="24"/>
        <v>21.007833195587676</v>
      </c>
      <c r="P37">
        <f t="shared" si="22"/>
        <v>22.908268559692889</v>
      </c>
      <c r="Q37">
        <f t="shared" si="20"/>
        <v>24.980623347353884</v>
      </c>
      <c r="R37">
        <f t="shared" si="18"/>
        <v>27.240449936070068</v>
      </c>
      <c r="S37">
        <f t="shared" si="16"/>
        <v>29.70470762084253</v>
      </c>
      <c r="T37">
        <f t="shared" si="14"/>
        <v>32.391889888403149</v>
      </c>
      <c r="U37">
        <f t="shared" si="12"/>
        <v>35.322163205074972</v>
      </c>
      <c r="V37">
        <f t="shared" si="10"/>
        <v>38.517518359823583</v>
      </c>
      <c r="W37">
        <f t="shared" si="8"/>
        <v>42.001935498281952</v>
      </c>
      <c r="X37">
        <f t="shared" si="6"/>
        <v>45.801564086277693</v>
      </c>
      <c r="Y37">
        <f t="shared" si="4"/>
        <v>49.944919153433069</v>
      </c>
      <c r="Z37">
        <f t="shared" si="2"/>
        <v>54.463095289584764</v>
      </c>
      <c r="AA37">
        <f t="shared" si="1"/>
        <v>59.39</v>
      </c>
      <c r="AB37">
        <f t="shared" si="3"/>
        <v>64.762608170647212</v>
      </c>
      <c r="AC37">
        <f t="shared" si="5"/>
        <v>70.621239553203935</v>
      </c>
      <c r="AD37">
        <f t="shared" si="7"/>
        <v>77.009861352240435</v>
      </c>
      <c r="AE37">
        <f t="shared" si="9"/>
        <v>83.976418185401855</v>
      </c>
      <c r="AF37">
        <f t="shared" si="11"/>
        <v>91.573191892837059</v>
      </c>
      <c r="AG37">
        <f t="shared" si="13"/>
        <v>99.857193896132259</v>
      </c>
      <c r="AH37">
        <f t="shared" si="15"/>
        <v>108.89059305128066</v>
      </c>
      <c r="AI37">
        <f t="shared" si="17"/>
        <v>118.74118220659186</v>
      </c>
      <c r="AJ37">
        <f t="shared" si="19"/>
        <v>129.48288696691253</v>
      </c>
      <c r="AK37">
        <f t="shared" si="21"/>
        <v>141.19632048227578</v>
      </c>
      <c r="AL37">
        <f t="shared" si="23"/>
        <v>153.96938842449498</v>
      </c>
      <c r="AM37">
        <f t="shared" si="25"/>
        <v>167.89794869186318</v>
      </c>
      <c r="AN37">
        <f t="shared" ref="AN37:AN49" si="27">$B$6*($B$15^13)</f>
        <v>183.08653079283658</v>
      </c>
    </row>
    <row r="38" spans="1:51" x14ac:dyDescent="0.3">
      <c r="A38">
        <v>14</v>
      </c>
      <c r="M38">
        <f t="shared" ref="M38:M49" si="28">$B$6*($B$15^-14)</f>
        <v>17.666855203610606</v>
      </c>
      <c r="N38">
        <f t="shared" si="26"/>
        <v>19.265055079289336</v>
      </c>
      <c r="O38">
        <f t="shared" si="24"/>
        <v>21.007833195587676</v>
      </c>
      <c r="P38">
        <f t="shared" si="22"/>
        <v>22.908268559692889</v>
      </c>
      <c r="Q38">
        <f t="shared" si="20"/>
        <v>24.980623347353884</v>
      </c>
      <c r="R38">
        <f t="shared" si="18"/>
        <v>27.240449936070068</v>
      </c>
      <c r="S38">
        <f t="shared" si="16"/>
        <v>29.70470762084253</v>
      </c>
      <c r="T38">
        <f t="shared" si="14"/>
        <v>32.391889888403149</v>
      </c>
      <c r="U38">
        <f t="shared" si="12"/>
        <v>35.322163205074972</v>
      </c>
      <c r="V38">
        <f t="shared" si="10"/>
        <v>38.517518359823583</v>
      </c>
      <c r="W38">
        <f t="shared" si="8"/>
        <v>42.001935498281952</v>
      </c>
      <c r="X38">
        <f t="shared" si="6"/>
        <v>45.801564086277693</v>
      </c>
      <c r="Y38">
        <f t="shared" si="4"/>
        <v>49.944919153433069</v>
      </c>
      <c r="Z38">
        <f t="shared" si="2"/>
        <v>54.463095289584764</v>
      </c>
      <c r="AA38">
        <f t="shared" si="1"/>
        <v>59.39</v>
      </c>
      <c r="AB38">
        <f t="shared" si="3"/>
        <v>64.762608170647212</v>
      </c>
      <c r="AC38">
        <f t="shared" si="5"/>
        <v>70.621239553203935</v>
      </c>
      <c r="AD38">
        <f t="shared" si="7"/>
        <v>77.009861352240435</v>
      </c>
      <c r="AE38">
        <f t="shared" si="9"/>
        <v>83.976418185401855</v>
      </c>
      <c r="AF38">
        <f t="shared" si="11"/>
        <v>91.573191892837059</v>
      </c>
      <c r="AG38">
        <f t="shared" si="13"/>
        <v>99.857193896132259</v>
      </c>
      <c r="AH38">
        <f t="shared" si="15"/>
        <v>108.89059305128066</v>
      </c>
      <c r="AI38">
        <f t="shared" si="17"/>
        <v>118.74118220659186</v>
      </c>
      <c r="AJ38">
        <f t="shared" si="19"/>
        <v>129.48288696691253</v>
      </c>
      <c r="AK38">
        <f t="shared" si="21"/>
        <v>141.19632048227578</v>
      </c>
      <c r="AL38">
        <f t="shared" si="23"/>
        <v>153.96938842449498</v>
      </c>
      <c r="AM38">
        <f t="shared" si="25"/>
        <v>167.89794869186318</v>
      </c>
      <c r="AN38">
        <f t="shared" si="27"/>
        <v>183.08653079283658</v>
      </c>
      <c r="AO38">
        <f t="shared" ref="AO38:AO49" si="29">$B$6*($B$15^14)</f>
        <v>199.64912030745265</v>
      </c>
    </row>
    <row r="39" spans="1:51" x14ac:dyDescent="0.3">
      <c r="A39">
        <v>15</v>
      </c>
      <c r="L39">
        <f t="shared" ref="L39:L49" si="30">$B$6*($B$15^-15)</f>
        <v>16.201239576048845</v>
      </c>
      <c r="M39">
        <f t="shared" si="28"/>
        <v>17.666855203610606</v>
      </c>
      <c r="N39">
        <f t="shared" si="26"/>
        <v>19.265055079289336</v>
      </c>
      <c r="O39">
        <f t="shared" si="24"/>
        <v>21.007833195587676</v>
      </c>
      <c r="P39">
        <f t="shared" si="22"/>
        <v>22.908268559692889</v>
      </c>
      <c r="Q39">
        <f t="shared" si="20"/>
        <v>24.980623347353884</v>
      </c>
      <c r="R39">
        <f t="shared" si="18"/>
        <v>27.240449936070068</v>
      </c>
      <c r="S39">
        <f t="shared" si="16"/>
        <v>29.70470762084253</v>
      </c>
      <c r="T39">
        <f t="shared" si="14"/>
        <v>32.391889888403149</v>
      </c>
      <c r="U39">
        <f t="shared" si="12"/>
        <v>35.322163205074972</v>
      </c>
      <c r="V39">
        <f t="shared" si="10"/>
        <v>38.517518359823583</v>
      </c>
      <c r="W39">
        <f t="shared" si="8"/>
        <v>42.001935498281952</v>
      </c>
      <c r="X39">
        <f t="shared" si="6"/>
        <v>45.801564086277693</v>
      </c>
      <c r="Y39">
        <f t="shared" si="4"/>
        <v>49.944919153433069</v>
      </c>
      <c r="Z39">
        <f t="shared" si="2"/>
        <v>54.463095289584764</v>
      </c>
      <c r="AA39">
        <f t="shared" si="1"/>
        <v>59.39</v>
      </c>
      <c r="AB39">
        <f t="shared" si="3"/>
        <v>64.762608170647212</v>
      </c>
      <c r="AC39">
        <f t="shared" si="5"/>
        <v>70.621239553203935</v>
      </c>
      <c r="AD39">
        <f t="shared" si="7"/>
        <v>77.009861352240435</v>
      </c>
      <c r="AE39">
        <f t="shared" si="9"/>
        <v>83.976418185401855</v>
      </c>
      <c r="AF39">
        <f t="shared" si="11"/>
        <v>91.573191892837059</v>
      </c>
      <c r="AG39">
        <f t="shared" si="13"/>
        <v>99.857193896132259</v>
      </c>
      <c r="AH39">
        <f t="shared" si="15"/>
        <v>108.89059305128066</v>
      </c>
      <c r="AI39">
        <f t="shared" si="17"/>
        <v>118.74118220659186</v>
      </c>
      <c r="AJ39">
        <f t="shared" si="19"/>
        <v>129.48288696691253</v>
      </c>
      <c r="AK39">
        <f t="shared" si="21"/>
        <v>141.19632048227578</v>
      </c>
      <c r="AL39">
        <f t="shared" si="23"/>
        <v>153.96938842449498</v>
      </c>
      <c r="AM39">
        <f t="shared" si="25"/>
        <v>167.89794869186318</v>
      </c>
      <c r="AN39">
        <f t="shared" si="27"/>
        <v>183.08653079283658</v>
      </c>
      <c r="AO39">
        <f t="shared" si="29"/>
        <v>199.64912030745265</v>
      </c>
      <c r="AP39">
        <f t="shared" ref="AP39:AP49" si="31">$B$6*($B$15^15)</f>
        <v>217.71001431362117</v>
      </c>
    </row>
    <row r="40" spans="1:51" x14ac:dyDescent="0.3">
      <c r="A40">
        <v>16</v>
      </c>
      <c r="K40">
        <f t="shared" ref="K40:K49" si="32">$B$6*($B$15^-16)</f>
        <v>14.857209207606333</v>
      </c>
      <c r="L40">
        <f t="shared" si="30"/>
        <v>16.201239576048845</v>
      </c>
      <c r="M40">
        <f t="shared" si="28"/>
        <v>17.666855203610606</v>
      </c>
      <c r="N40">
        <f t="shared" si="26"/>
        <v>19.265055079289336</v>
      </c>
      <c r="O40">
        <f t="shared" si="24"/>
        <v>21.007833195587676</v>
      </c>
      <c r="P40">
        <f t="shared" si="22"/>
        <v>22.908268559692889</v>
      </c>
      <c r="Q40">
        <f t="shared" si="20"/>
        <v>24.980623347353884</v>
      </c>
      <c r="R40">
        <f t="shared" si="18"/>
        <v>27.240449936070068</v>
      </c>
      <c r="S40">
        <f t="shared" si="16"/>
        <v>29.70470762084253</v>
      </c>
      <c r="T40">
        <f t="shared" si="14"/>
        <v>32.391889888403149</v>
      </c>
      <c r="U40">
        <f t="shared" si="12"/>
        <v>35.322163205074972</v>
      </c>
      <c r="V40">
        <f t="shared" si="10"/>
        <v>38.517518359823583</v>
      </c>
      <c r="W40">
        <f t="shared" si="8"/>
        <v>42.001935498281952</v>
      </c>
      <c r="X40">
        <f t="shared" si="6"/>
        <v>45.801564086277693</v>
      </c>
      <c r="Y40">
        <f t="shared" si="4"/>
        <v>49.944919153433069</v>
      </c>
      <c r="Z40">
        <f t="shared" si="2"/>
        <v>54.463095289584764</v>
      </c>
      <c r="AA40">
        <f t="shared" si="1"/>
        <v>59.39</v>
      </c>
      <c r="AB40">
        <f t="shared" si="3"/>
        <v>64.762608170647212</v>
      </c>
      <c r="AC40">
        <f t="shared" si="5"/>
        <v>70.621239553203935</v>
      </c>
      <c r="AD40">
        <f t="shared" si="7"/>
        <v>77.009861352240435</v>
      </c>
      <c r="AE40">
        <f t="shared" si="9"/>
        <v>83.976418185401855</v>
      </c>
      <c r="AF40">
        <f t="shared" si="11"/>
        <v>91.573191892837059</v>
      </c>
      <c r="AG40">
        <f t="shared" si="13"/>
        <v>99.857193896132259</v>
      </c>
      <c r="AH40">
        <f t="shared" si="15"/>
        <v>108.89059305128066</v>
      </c>
      <c r="AI40">
        <f t="shared" si="17"/>
        <v>118.74118220659186</v>
      </c>
      <c r="AJ40">
        <f t="shared" si="19"/>
        <v>129.48288696691253</v>
      </c>
      <c r="AK40">
        <f t="shared" si="21"/>
        <v>141.19632048227578</v>
      </c>
      <c r="AL40">
        <f t="shared" si="23"/>
        <v>153.96938842449498</v>
      </c>
      <c r="AM40">
        <f t="shared" si="25"/>
        <v>167.89794869186318</v>
      </c>
      <c r="AN40">
        <f t="shared" si="27"/>
        <v>183.08653079283658</v>
      </c>
      <c r="AO40">
        <f t="shared" si="29"/>
        <v>199.64912030745265</v>
      </c>
      <c r="AP40">
        <f t="shared" si="31"/>
        <v>217.71001431362117</v>
      </c>
      <c r="AQ40">
        <f t="shared" ref="AQ40:AQ49" si="33">$B$6*($B$15^16)</f>
        <v>237.40475419799705</v>
      </c>
    </row>
    <row r="41" spans="1:51" x14ac:dyDescent="0.3">
      <c r="A41">
        <v>17</v>
      </c>
      <c r="J41">
        <f t="shared" ref="J41:J49" si="34">$B$6*($B$15^-17)</f>
        <v>13.624677568802154</v>
      </c>
      <c r="K41">
        <f t="shared" si="32"/>
        <v>14.857209207606333</v>
      </c>
      <c r="L41">
        <f t="shared" si="30"/>
        <v>16.201239576048845</v>
      </c>
      <c r="M41">
        <f t="shared" si="28"/>
        <v>17.666855203610606</v>
      </c>
      <c r="N41">
        <f t="shared" si="26"/>
        <v>19.265055079289336</v>
      </c>
      <c r="O41">
        <f t="shared" si="24"/>
        <v>21.007833195587676</v>
      </c>
      <c r="P41">
        <f t="shared" si="22"/>
        <v>22.908268559692889</v>
      </c>
      <c r="Q41">
        <f t="shared" si="20"/>
        <v>24.980623347353884</v>
      </c>
      <c r="R41">
        <f t="shared" si="18"/>
        <v>27.240449936070068</v>
      </c>
      <c r="S41">
        <f t="shared" si="16"/>
        <v>29.70470762084253</v>
      </c>
      <c r="T41">
        <f t="shared" si="14"/>
        <v>32.391889888403149</v>
      </c>
      <c r="U41">
        <f t="shared" si="12"/>
        <v>35.322163205074972</v>
      </c>
      <c r="V41">
        <f t="shared" si="10"/>
        <v>38.517518359823583</v>
      </c>
      <c r="W41">
        <f t="shared" si="8"/>
        <v>42.001935498281952</v>
      </c>
      <c r="X41">
        <f t="shared" si="6"/>
        <v>45.801564086277693</v>
      </c>
      <c r="Y41">
        <f t="shared" si="4"/>
        <v>49.944919153433069</v>
      </c>
      <c r="Z41">
        <f t="shared" si="2"/>
        <v>54.463095289584764</v>
      </c>
      <c r="AA41">
        <f t="shared" si="1"/>
        <v>59.39</v>
      </c>
      <c r="AB41">
        <f t="shared" si="3"/>
        <v>64.762608170647212</v>
      </c>
      <c r="AC41">
        <f t="shared" si="5"/>
        <v>70.621239553203935</v>
      </c>
      <c r="AD41">
        <f t="shared" si="7"/>
        <v>77.009861352240435</v>
      </c>
      <c r="AE41">
        <f t="shared" si="9"/>
        <v>83.976418185401855</v>
      </c>
      <c r="AF41">
        <f t="shared" si="11"/>
        <v>91.573191892837059</v>
      </c>
      <c r="AG41">
        <f t="shared" si="13"/>
        <v>99.857193896132259</v>
      </c>
      <c r="AH41">
        <f t="shared" si="15"/>
        <v>108.89059305128066</v>
      </c>
      <c r="AI41">
        <f t="shared" si="17"/>
        <v>118.74118220659186</v>
      </c>
      <c r="AJ41">
        <f t="shared" si="19"/>
        <v>129.48288696691253</v>
      </c>
      <c r="AK41">
        <f t="shared" si="21"/>
        <v>141.19632048227578</v>
      </c>
      <c r="AL41">
        <f t="shared" si="23"/>
        <v>153.96938842449498</v>
      </c>
      <c r="AM41">
        <f t="shared" si="25"/>
        <v>167.89794869186318</v>
      </c>
      <c r="AN41">
        <f t="shared" si="27"/>
        <v>183.08653079283658</v>
      </c>
      <c r="AO41">
        <f t="shared" si="29"/>
        <v>199.64912030745265</v>
      </c>
      <c r="AP41">
        <f t="shared" si="31"/>
        <v>217.71001431362117</v>
      </c>
      <c r="AQ41">
        <f t="shared" si="33"/>
        <v>237.40475419799705</v>
      </c>
      <c r="AR41">
        <f t="shared" ref="AR41:AR49" si="35">$B$6*($B$15^17)</f>
        <v>258.88114285188914</v>
      </c>
    </row>
    <row r="42" spans="1:51" x14ac:dyDescent="0.3">
      <c r="A42">
        <v>18</v>
      </c>
      <c r="I42">
        <f t="shared" ref="I42:I49" si="36">$B$6*($B$15^-18)</f>
        <v>12.494394893408648</v>
      </c>
      <c r="J42">
        <f t="shared" si="34"/>
        <v>13.624677568802154</v>
      </c>
      <c r="K42">
        <f t="shared" si="32"/>
        <v>14.857209207606333</v>
      </c>
      <c r="L42">
        <f t="shared" si="30"/>
        <v>16.201239576048845</v>
      </c>
      <c r="M42">
        <f t="shared" si="28"/>
        <v>17.666855203610606</v>
      </c>
      <c r="N42">
        <f t="shared" si="26"/>
        <v>19.265055079289336</v>
      </c>
      <c r="O42">
        <f t="shared" si="24"/>
        <v>21.007833195587676</v>
      </c>
      <c r="P42">
        <f t="shared" si="22"/>
        <v>22.908268559692889</v>
      </c>
      <c r="Q42">
        <f t="shared" si="20"/>
        <v>24.980623347353884</v>
      </c>
      <c r="R42">
        <f t="shared" si="18"/>
        <v>27.240449936070068</v>
      </c>
      <c r="S42">
        <f t="shared" si="16"/>
        <v>29.70470762084253</v>
      </c>
      <c r="T42">
        <f t="shared" si="14"/>
        <v>32.391889888403149</v>
      </c>
      <c r="U42">
        <f t="shared" si="12"/>
        <v>35.322163205074972</v>
      </c>
      <c r="V42">
        <f t="shared" si="10"/>
        <v>38.517518359823583</v>
      </c>
      <c r="W42">
        <f t="shared" si="8"/>
        <v>42.001935498281952</v>
      </c>
      <c r="X42">
        <f t="shared" si="6"/>
        <v>45.801564086277693</v>
      </c>
      <c r="Y42">
        <f t="shared" si="4"/>
        <v>49.944919153433069</v>
      </c>
      <c r="Z42">
        <f t="shared" si="2"/>
        <v>54.463095289584764</v>
      </c>
      <c r="AA42">
        <f t="shared" si="1"/>
        <v>59.39</v>
      </c>
      <c r="AB42">
        <f t="shared" si="3"/>
        <v>64.762608170647212</v>
      </c>
      <c r="AC42">
        <f t="shared" si="5"/>
        <v>70.621239553203935</v>
      </c>
      <c r="AD42">
        <f t="shared" si="7"/>
        <v>77.009861352240435</v>
      </c>
      <c r="AE42">
        <f t="shared" si="9"/>
        <v>83.976418185401855</v>
      </c>
      <c r="AF42">
        <f t="shared" si="11"/>
        <v>91.573191892837059</v>
      </c>
      <c r="AG42">
        <f t="shared" si="13"/>
        <v>99.857193896132259</v>
      </c>
      <c r="AH42">
        <f t="shared" si="15"/>
        <v>108.89059305128066</v>
      </c>
      <c r="AI42">
        <f t="shared" si="17"/>
        <v>118.74118220659186</v>
      </c>
      <c r="AJ42">
        <f t="shared" si="19"/>
        <v>129.48288696691253</v>
      </c>
      <c r="AK42">
        <f t="shared" si="21"/>
        <v>141.19632048227578</v>
      </c>
      <c r="AL42">
        <f t="shared" si="23"/>
        <v>153.96938842449498</v>
      </c>
      <c r="AM42">
        <f t="shared" si="25"/>
        <v>167.89794869186318</v>
      </c>
      <c r="AN42">
        <f t="shared" si="27"/>
        <v>183.08653079283658</v>
      </c>
      <c r="AO42">
        <f t="shared" si="29"/>
        <v>199.64912030745265</v>
      </c>
      <c r="AP42">
        <f t="shared" si="31"/>
        <v>217.71001431362117</v>
      </c>
      <c r="AQ42">
        <f t="shared" si="33"/>
        <v>237.40475419799705</v>
      </c>
      <c r="AR42">
        <f t="shared" si="35"/>
        <v>258.88114285188914</v>
      </c>
      <c r="AS42">
        <f t="shared" ref="AS42:AS49" si="37">$B$6*($B$15^18)</f>
        <v>282.30035388594456</v>
      </c>
    </row>
    <row r="43" spans="1:51" x14ac:dyDescent="0.3">
      <c r="A43">
        <v>19</v>
      </c>
      <c r="H43">
        <f t="shared" ref="H43:H49" si="38">$B$6*($B$15^-19)</f>
        <v>11.457878761835603</v>
      </c>
      <c r="I43">
        <f t="shared" si="36"/>
        <v>12.494394893408648</v>
      </c>
      <c r="J43">
        <f t="shared" si="34"/>
        <v>13.624677568802154</v>
      </c>
      <c r="K43">
        <f t="shared" si="32"/>
        <v>14.857209207606333</v>
      </c>
      <c r="L43">
        <f t="shared" si="30"/>
        <v>16.201239576048845</v>
      </c>
      <c r="M43">
        <f t="shared" si="28"/>
        <v>17.666855203610606</v>
      </c>
      <c r="N43">
        <f t="shared" si="26"/>
        <v>19.265055079289336</v>
      </c>
      <c r="O43">
        <f t="shared" si="24"/>
        <v>21.007833195587676</v>
      </c>
      <c r="P43">
        <f t="shared" si="22"/>
        <v>22.908268559692889</v>
      </c>
      <c r="Q43">
        <f t="shared" si="20"/>
        <v>24.980623347353884</v>
      </c>
      <c r="R43">
        <f t="shared" si="18"/>
        <v>27.240449936070068</v>
      </c>
      <c r="S43">
        <f t="shared" si="16"/>
        <v>29.70470762084253</v>
      </c>
      <c r="T43">
        <f t="shared" si="14"/>
        <v>32.391889888403149</v>
      </c>
      <c r="U43">
        <f t="shared" si="12"/>
        <v>35.322163205074972</v>
      </c>
      <c r="V43">
        <f t="shared" si="10"/>
        <v>38.517518359823583</v>
      </c>
      <c r="W43">
        <f t="shared" si="8"/>
        <v>42.001935498281952</v>
      </c>
      <c r="X43">
        <f t="shared" si="6"/>
        <v>45.801564086277693</v>
      </c>
      <c r="Y43">
        <f t="shared" si="4"/>
        <v>49.944919153433069</v>
      </c>
      <c r="Z43">
        <f t="shared" si="2"/>
        <v>54.463095289584764</v>
      </c>
      <c r="AA43">
        <f t="shared" si="1"/>
        <v>59.39</v>
      </c>
      <c r="AB43">
        <f t="shared" si="3"/>
        <v>64.762608170647212</v>
      </c>
      <c r="AC43">
        <f t="shared" si="5"/>
        <v>70.621239553203935</v>
      </c>
      <c r="AD43">
        <f t="shared" si="7"/>
        <v>77.009861352240435</v>
      </c>
      <c r="AE43">
        <f t="shared" si="9"/>
        <v>83.976418185401855</v>
      </c>
      <c r="AF43">
        <f t="shared" si="11"/>
        <v>91.573191892837059</v>
      </c>
      <c r="AG43">
        <f t="shared" si="13"/>
        <v>99.857193896132259</v>
      </c>
      <c r="AH43">
        <f t="shared" si="15"/>
        <v>108.89059305128066</v>
      </c>
      <c r="AI43">
        <f t="shared" si="17"/>
        <v>118.74118220659186</v>
      </c>
      <c r="AJ43">
        <f t="shared" si="19"/>
        <v>129.48288696691253</v>
      </c>
      <c r="AK43">
        <f t="shared" si="21"/>
        <v>141.19632048227578</v>
      </c>
      <c r="AL43">
        <f t="shared" si="23"/>
        <v>153.96938842449498</v>
      </c>
      <c r="AM43">
        <f t="shared" si="25"/>
        <v>167.89794869186318</v>
      </c>
      <c r="AN43">
        <f t="shared" si="27"/>
        <v>183.08653079283658</v>
      </c>
      <c r="AO43">
        <f t="shared" si="29"/>
        <v>199.64912030745265</v>
      </c>
      <c r="AP43">
        <f t="shared" si="31"/>
        <v>217.71001431362117</v>
      </c>
      <c r="AQ43">
        <f t="shared" si="33"/>
        <v>237.40475419799705</v>
      </c>
      <c r="AR43">
        <f t="shared" si="35"/>
        <v>258.88114285188914</v>
      </c>
      <c r="AS43">
        <f t="shared" si="37"/>
        <v>282.30035388594456</v>
      </c>
      <c r="AT43">
        <f t="shared" ref="AT43:AT49" si="39">$B$6*($B$15^19)</f>
        <v>307.83814118791838</v>
      </c>
    </row>
    <row r="44" spans="1:51" x14ac:dyDescent="0.3">
      <c r="A44">
        <v>20</v>
      </c>
      <c r="G44">
        <f t="shared" ref="G44:G49" si="40">$B$6*($B$15^-20)</f>
        <v>10.507350443212021</v>
      </c>
      <c r="H44">
        <f t="shared" si="38"/>
        <v>11.457878761835603</v>
      </c>
      <c r="I44">
        <f t="shared" si="36"/>
        <v>12.494394893408648</v>
      </c>
      <c r="J44">
        <f t="shared" si="34"/>
        <v>13.624677568802154</v>
      </c>
      <c r="K44">
        <f t="shared" si="32"/>
        <v>14.857209207606333</v>
      </c>
      <c r="L44">
        <f t="shared" si="30"/>
        <v>16.201239576048845</v>
      </c>
      <c r="M44">
        <f t="shared" si="28"/>
        <v>17.666855203610606</v>
      </c>
      <c r="N44">
        <f t="shared" si="26"/>
        <v>19.265055079289336</v>
      </c>
      <c r="O44">
        <f t="shared" si="24"/>
        <v>21.007833195587676</v>
      </c>
      <c r="P44">
        <f t="shared" si="22"/>
        <v>22.908268559692889</v>
      </c>
      <c r="Q44">
        <f t="shared" si="20"/>
        <v>24.980623347353884</v>
      </c>
      <c r="R44">
        <f t="shared" si="18"/>
        <v>27.240449936070068</v>
      </c>
      <c r="S44">
        <f t="shared" si="16"/>
        <v>29.70470762084253</v>
      </c>
      <c r="T44">
        <f t="shared" si="14"/>
        <v>32.391889888403149</v>
      </c>
      <c r="U44">
        <f t="shared" si="12"/>
        <v>35.322163205074972</v>
      </c>
      <c r="V44">
        <f t="shared" si="10"/>
        <v>38.517518359823583</v>
      </c>
      <c r="W44">
        <f t="shared" si="8"/>
        <v>42.001935498281952</v>
      </c>
      <c r="X44">
        <f t="shared" si="6"/>
        <v>45.801564086277693</v>
      </c>
      <c r="Y44">
        <f t="shared" si="4"/>
        <v>49.944919153433069</v>
      </c>
      <c r="Z44">
        <f t="shared" si="2"/>
        <v>54.463095289584764</v>
      </c>
      <c r="AA44">
        <f t="shared" si="1"/>
        <v>59.39</v>
      </c>
      <c r="AB44">
        <f t="shared" si="3"/>
        <v>64.762608170647212</v>
      </c>
      <c r="AC44">
        <f t="shared" si="5"/>
        <v>70.621239553203935</v>
      </c>
      <c r="AD44">
        <f t="shared" si="7"/>
        <v>77.009861352240435</v>
      </c>
      <c r="AE44">
        <f t="shared" si="9"/>
        <v>83.976418185401855</v>
      </c>
      <c r="AF44">
        <f t="shared" si="11"/>
        <v>91.573191892837059</v>
      </c>
      <c r="AG44">
        <f t="shared" si="13"/>
        <v>99.857193896132259</v>
      </c>
      <c r="AH44">
        <f t="shared" si="15"/>
        <v>108.89059305128066</v>
      </c>
      <c r="AI44">
        <f t="shared" si="17"/>
        <v>118.74118220659186</v>
      </c>
      <c r="AJ44">
        <f t="shared" si="19"/>
        <v>129.48288696691253</v>
      </c>
      <c r="AK44">
        <f t="shared" si="21"/>
        <v>141.19632048227578</v>
      </c>
      <c r="AL44">
        <f t="shared" si="23"/>
        <v>153.96938842449498</v>
      </c>
      <c r="AM44">
        <f t="shared" si="25"/>
        <v>167.89794869186318</v>
      </c>
      <c r="AN44">
        <f t="shared" si="27"/>
        <v>183.08653079283658</v>
      </c>
      <c r="AO44">
        <f t="shared" si="29"/>
        <v>199.64912030745265</v>
      </c>
      <c r="AP44">
        <f t="shared" si="31"/>
        <v>217.71001431362117</v>
      </c>
      <c r="AQ44">
        <f t="shared" si="33"/>
        <v>237.40475419799705</v>
      </c>
      <c r="AR44">
        <f t="shared" si="35"/>
        <v>258.88114285188914</v>
      </c>
      <c r="AS44">
        <f t="shared" si="37"/>
        <v>282.30035388594456</v>
      </c>
      <c r="AT44">
        <f t="shared" si="39"/>
        <v>307.83814118791838</v>
      </c>
      <c r="AU44">
        <f t="shared" ref="AU44:AU49" si="41">$B$6*($B$15^20)</f>
        <v>335.68615790088461</v>
      </c>
    </row>
    <row r="45" spans="1:51" x14ac:dyDescent="0.3">
      <c r="A45">
        <v>21</v>
      </c>
      <c r="F45">
        <f>$B$6*($B$15^-21)</f>
        <v>9.6356765184326818</v>
      </c>
      <c r="G45">
        <f t="shared" si="40"/>
        <v>10.507350443212021</v>
      </c>
      <c r="H45">
        <f t="shared" si="38"/>
        <v>11.457878761835603</v>
      </c>
      <c r="I45">
        <f t="shared" si="36"/>
        <v>12.494394893408648</v>
      </c>
      <c r="J45">
        <f t="shared" si="34"/>
        <v>13.624677568802154</v>
      </c>
      <c r="K45">
        <f t="shared" si="32"/>
        <v>14.857209207606333</v>
      </c>
      <c r="L45">
        <f t="shared" si="30"/>
        <v>16.201239576048845</v>
      </c>
      <c r="M45">
        <f t="shared" si="28"/>
        <v>17.666855203610606</v>
      </c>
      <c r="N45">
        <f t="shared" si="26"/>
        <v>19.265055079289336</v>
      </c>
      <c r="O45">
        <f t="shared" si="24"/>
        <v>21.007833195587676</v>
      </c>
      <c r="P45">
        <f t="shared" si="22"/>
        <v>22.908268559692889</v>
      </c>
      <c r="Q45">
        <f t="shared" si="20"/>
        <v>24.980623347353884</v>
      </c>
      <c r="R45">
        <f t="shared" si="18"/>
        <v>27.240449936070068</v>
      </c>
      <c r="S45">
        <f t="shared" si="16"/>
        <v>29.70470762084253</v>
      </c>
      <c r="T45">
        <f t="shared" si="14"/>
        <v>32.391889888403149</v>
      </c>
      <c r="U45">
        <f t="shared" si="12"/>
        <v>35.322163205074972</v>
      </c>
      <c r="V45">
        <f t="shared" si="10"/>
        <v>38.517518359823583</v>
      </c>
      <c r="W45">
        <f t="shared" si="8"/>
        <v>42.001935498281952</v>
      </c>
      <c r="X45">
        <f t="shared" si="6"/>
        <v>45.801564086277693</v>
      </c>
      <c r="Y45">
        <f t="shared" si="4"/>
        <v>49.944919153433069</v>
      </c>
      <c r="Z45">
        <f t="shared" si="2"/>
        <v>54.463095289584764</v>
      </c>
      <c r="AA45">
        <f t="shared" si="1"/>
        <v>59.39</v>
      </c>
      <c r="AB45">
        <f t="shared" si="3"/>
        <v>64.762608170647212</v>
      </c>
      <c r="AC45">
        <f t="shared" si="5"/>
        <v>70.621239553203935</v>
      </c>
      <c r="AD45">
        <f t="shared" si="7"/>
        <v>77.009861352240435</v>
      </c>
      <c r="AE45">
        <f t="shared" si="9"/>
        <v>83.976418185401855</v>
      </c>
      <c r="AF45">
        <f t="shared" si="11"/>
        <v>91.573191892837059</v>
      </c>
      <c r="AG45">
        <f t="shared" si="13"/>
        <v>99.857193896132259</v>
      </c>
      <c r="AH45">
        <f t="shared" si="15"/>
        <v>108.89059305128066</v>
      </c>
      <c r="AI45">
        <f t="shared" si="17"/>
        <v>118.74118220659186</v>
      </c>
      <c r="AJ45">
        <f t="shared" si="19"/>
        <v>129.48288696691253</v>
      </c>
      <c r="AK45">
        <f t="shared" si="21"/>
        <v>141.19632048227578</v>
      </c>
      <c r="AL45">
        <f t="shared" si="23"/>
        <v>153.96938842449498</v>
      </c>
      <c r="AM45">
        <f t="shared" si="25"/>
        <v>167.89794869186318</v>
      </c>
      <c r="AN45">
        <f t="shared" si="27"/>
        <v>183.08653079283658</v>
      </c>
      <c r="AO45">
        <f t="shared" si="29"/>
        <v>199.64912030745265</v>
      </c>
      <c r="AP45">
        <f t="shared" si="31"/>
        <v>217.71001431362117</v>
      </c>
      <c r="AQ45">
        <f t="shared" si="33"/>
        <v>237.40475419799705</v>
      </c>
      <c r="AR45">
        <f t="shared" si="35"/>
        <v>258.88114285188914</v>
      </c>
      <c r="AS45">
        <f t="shared" si="37"/>
        <v>282.30035388594456</v>
      </c>
      <c r="AT45">
        <f t="shared" si="39"/>
        <v>307.83814118791838</v>
      </c>
      <c r="AU45">
        <f t="shared" si="41"/>
        <v>335.68615790088461</v>
      </c>
      <c r="AV45">
        <f>$B$6*($B$15^21)</f>
        <v>366.05339472040748</v>
      </c>
    </row>
    <row r="46" spans="1:51" x14ac:dyDescent="0.3">
      <c r="A46">
        <v>22</v>
      </c>
      <c r="E46">
        <f>$B$6*($B$15^-22)</f>
        <v>8.8363153460685879</v>
      </c>
      <c r="F46">
        <f>$B$6*($B$15^-21)</f>
        <v>9.6356765184326818</v>
      </c>
      <c r="G46">
        <f t="shared" si="40"/>
        <v>10.507350443212021</v>
      </c>
      <c r="H46">
        <f t="shared" si="38"/>
        <v>11.457878761835603</v>
      </c>
      <c r="I46">
        <f t="shared" si="36"/>
        <v>12.494394893408648</v>
      </c>
      <c r="J46">
        <f t="shared" si="34"/>
        <v>13.624677568802154</v>
      </c>
      <c r="K46">
        <f t="shared" si="32"/>
        <v>14.857209207606333</v>
      </c>
      <c r="L46">
        <f t="shared" si="30"/>
        <v>16.201239576048845</v>
      </c>
      <c r="M46">
        <f t="shared" si="28"/>
        <v>17.666855203610606</v>
      </c>
      <c r="N46">
        <f t="shared" si="26"/>
        <v>19.265055079289336</v>
      </c>
      <c r="O46">
        <f t="shared" si="24"/>
        <v>21.007833195587676</v>
      </c>
      <c r="P46">
        <f t="shared" si="22"/>
        <v>22.908268559692889</v>
      </c>
      <c r="Q46">
        <f t="shared" si="20"/>
        <v>24.980623347353884</v>
      </c>
      <c r="R46">
        <f t="shared" si="18"/>
        <v>27.240449936070068</v>
      </c>
      <c r="S46">
        <f t="shared" si="16"/>
        <v>29.70470762084253</v>
      </c>
      <c r="T46">
        <f t="shared" si="14"/>
        <v>32.391889888403149</v>
      </c>
      <c r="U46">
        <f t="shared" si="12"/>
        <v>35.322163205074972</v>
      </c>
      <c r="V46">
        <f t="shared" si="10"/>
        <v>38.517518359823583</v>
      </c>
      <c r="W46">
        <f t="shared" si="8"/>
        <v>42.001935498281952</v>
      </c>
      <c r="X46">
        <f t="shared" si="6"/>
        <v>45.801564086277693</v>
      </c>
      <c r="Y46">
        <f t="shared" si="4"/>
        <v>49.944919153433069</v>
      </c>
      <c r="Z46">
        <f t="shared" si="2"/>
        <v>54.463095289584764</v>
      </c>
      <c r="AA46">
        <f t="shared" si="1"/>
        <v>59.39</v>
      </c>
      <c r="AB46">
        <f t="shared" si="3"/>
        <v>64.762608170647212</v>
      </c>
      <c r="AC46">
        <f t="shared" si="5"/>
        <v>70.621239553203935</v>
      </c>
      <c r="AD46">
        <f t="shared" si="7"/>
        <v>77.009861352240435</v>
      </c>
      <c r="AE46">
        <f t="shared" si="9"/>
        <v>83.976418185401855</v>
      </c>
      <c r="AF46">
        <f t="shared" si="11"/>
        <v>91.573191892837059</v>
      </c>
      <c r="AG46">
        <f t="shared" si="13"/>
        <v>99.857193896132259</v>
      </c>
      <c r="AH46">
        <f t="shared" si="15"/>
        <v>108.89059305128066</v>
      </c>
      <c r="AI46">
        <f t="shared" si="17"/>
        <v>118.74118220659186</v>
      </c>
      <c r="AJ46">
        <f t="shared" si="19"/>
        <v>129.48288696691253</v>
      </c>
      <c r="AK46">
        <f t="shared" si="21"/>
        <v>141.19632048227578</v>
      </c>
      <c r="AL46">
        <f t="shared" si="23"/>
        <v>153.96938842449498</v>
      </c>
      <c r="AM46">
        <f t="shared" si="25"/>
        <v>167.89794869186318</v>
      </c>
      <c r="AN46">
        <f t="shared" si="27"/>
        <v>183.08653079283658</v>
      </c>
      <c r="AO46">
        <f t="shared" si="29"/>
        <v>199.64912030745265</v>
      </c>
      <c r="AP46">
        <f t="shared" si="31"/>
        <v>217.71001431362117</v>
      </c>
      <c r="AQ46">
        <f t="shared" si="33"/>
        <v>237.40475419799705</v>
      </c>
      <c r="AR46">
        <f t="shared" si="35"/>
        <v>258.88114285188914</v>
      </c>
      <c r="AS46">
        <f t="shared" si="37"/>
        <v>282.30035388594456</v>
      </c>
      <c r="AT46">
        <f t="shared" si="39"/>
        <v>307.83814118791838</v>
      </c>
      <c r="AU46">
        <f t="shared" si="41"/>
        <v>335.68615790088461</v>
      </c>
      <c r="AV46">
        <f>$B$6*($B$15^21)</f>
        <v>366.05339472040748</v>
      </c>
      <c r="AW46">
        <f>$B$6*($B$15^22)</f>
        <v>399.16774830464749</v>
      </c>
    </row>
    <row r="47" spans="1:51" x14ac:dyDescent="0.3">
      <c r="A47">
        <v>23</v>
      </c>
      <c r="D47">
        <f>$B$6*($B$15^-23)</f>
        <v>8.103267969384639</v>
      </c>
      <c r="E47">
        <f>$B$6*($B$15^-22)</f>
        <v>8.8363153460685879</v>
      </c>
      <c r="F47">
        <f>$B$6*($B$15^-21)</f>
        <v>9.6356765184326818</v>
      </c>
      <c r="G47">
        <f t="shared" si="40"/>
        <v>10.507350443212021</v>
      </c>
      <c r="H47">
        <f t="shared" si="38"/>
        <v>11.457878761835603</v>
      </c>
      <c r="I47">
        <f t="shared" si="36"/>
        <v>12.494394893408648</v>
      </c>
      <c r="J47">
        <f t="shared" si="34"/>
        <v>13.624677568802154</v>
      </c>
      <c r="K47">
        <f t="shared" si="32"/>
        <v>14.857209207606333</v>
      </c>
      <c r="L47">
        <f t="shared" si="30"/>
        <v>16.201239576048845</v>
      </c>
      <c r="M47">
        <f t="shared" si="28"/>
        <v>17.666855203610606</v>
      </c>
      <c r="N47">
        <f t="shared" si="26"/>
        <v>19.265055079289336</v>
      </c>
      <c r="O47">
        <f t="shared" si="24"/>
        <v>21.007833195587676</v>
      </c>
      <c r="P47">
        <f t="shared" si="22"/>
        <v>22.908268559692889</v>
      </c>
      <c r="Q47">
        <f t="shared" si="20"/>
        <v>24.980623347353884</v>
      </c>
      <c r="R47">
        <f t="shared" si="18"/>
        <v>27.240449936070068</v>
      </c>
      <c r="S47">
        <f t="shared" si="16"/>
        <v>29.70470762084253</v>
      </c>
      <c r="T47">
        <f t="shared" si="14"/>
        <v>32.391889888403149</v>
      </c>
      <c r="U47">
        <f t="shared" si="12"/>
        <v>35.322163205074972</v>
      </c>
      <c r="V47">
        <f t="shared" si="10"/>
        <v>38.517518359823583</v>
      </c>
      <c r="W47">
        <f t="shared" si="8"/>
        <v>42.001935498281952</v>
      </c>
      <c r="X47">
        <f t="shared" si="6"/>
        <v>45.801564086277693</v>
      </c>
      <c r="Y47">
        <f t="shared" si="4"/>
        <v>49.944919153433069</v>
      </c>
      <c r="Z47">
        <f t="shared" si="2"/>
        <v>54.463095289584764</v>
      </c>
      <c r="AA47">
        <f t="shared" si="1"/>
        <v>59.39</v>
      </c>
      <c r="AB47">
        <f t="shared" si="3"/>
        <v>64.762608170647212</v>
      </c>
      <c r="AC47">
        <f t="shared" si="5"/>
        <v>70.621239553203935</v>
      </c>
      <c r="AD47">
        <f t="shared" si="7"/>
        <v>77.009861352240435</v>
      </c>
      <c r="AE47">
        <f t="shared" si="9"/>
        <v>83.976418185401855</v>
      </c>
      <c r="AF47">
        <f t="shared" si="11"/>
        <v>91.573191892837059</v>
      </c>
      <c r="AG47">
        <f t="shared" si="13"/>
        <v>99.857193896132259</v>
      </c>
      <c r="AH47">
        <f t="shared" si="15"/>
        <v>108.89059305128066</v>
      </c>
      <c r="AI47">
        <f t="shared" si="17"/>
        <v>118.74118220659186</v>
      </c>
      <c r="AJ47">
        <f t="shared" si="19"/>
        <v>129.48288696691253</v>
      </c>
      <c r="AK47">
        <f t="shared" si="21"/>
        <v>141.19632048227578</v>
      </c>
      <c r="AL47">
        <f t="shared" si="23"/>
        <v>153.96938842449498</v>
      </c>
      <c r="AM47">
        <f t="shared" si="25"/>
        <v>167.89794869186318</v>
      </c>
      <c r="AN47">
        <f t="shared" si="27"/>
        <v>183.08653079283658</v>
      </c>
      <c r="AO47">
        <f t="shared" si="29"/>
        <v>199.64912030745265</v>
      </c>
      <c r="AP47">
        <f t="shared" si="31"/>
        <v>217.71001431362117</v>
      </c>
      <c r="AQ47">
        <f t="shared" si="33"/>
        <v>237.40475419799705</v>
      </c>
      <c r="AR47">
        <f t="shared" si="35"/>
        <v>258.88114285188914</v>
      </c>
      <c r="AS47">
        <f t="shared" si="37"/>
        <v>282.30035388594456</v>
      </c>
      <c r="AT47">
        <f t="shared" si="39"/>
        <v>307.83814118791838</v>
      </c>
      <c r="AU47">
        <f t="shared" si="41"/>
        <v>335.68615790088461</v>
      </c>
      <c r="AV47">
        <f>$B$6*($B$15^21)</f>
        <v>366.05339472040748</v>
      </c>
      <c r="AW47">
        <f>$B$6*($B$15^22)</f>
        <v>399.16774830464749</v>
      </c>
      <c r="AX47">
        <f>$B$6*($B$15^23)</f>
        <v>435.27773156782979</v>
      </c>
    </row>
    <row r="48" spans="1:51" x14ac:dyDescent="0.3">
      <c r="A48">
        <v>24</v>
      </c>
      <c r="C48">
        <f>$B$6*($B$15^-24)</f>
        <v>7.4310330960369688</v>
      </c>
      <c r="D48">
        <f>$B$6*($B$15^-23)</f>
        <v>8.103267969384639</v>
      </c>
      <c r="E48">
        <f>$B$6*($B$15^-22)</f>
        <v>8.8363153460685879</v>
      </c>
      <c r="F48">
        <f>$B$6*($B$15^-21)</f>
        <v>9.6356765184326818</v>
      </c>
      <c r="G48">
        <f t="shared" si="40"/>
        <v>10.507350443212021</v>
      </c>
      <c r="H48">
        <f t="shared" si="38"/>
        <v>11.457878761835603</v>
      </c>
      <c r="I48">
        <f t="shared" si="36"/>
        <v>12.494394893408648</v>
      </c>
      <c r="J48">
        <f t="shared" si="34"/>
        <v>13.624677568802154</v>
      </c>
      <c r="K48">
        <f t="shared" si="32"/>
        <v>14.857209207606333</v>
      </c>
      <c r="L48">
        <f t="shared" si="30"/>
        <v>16.201239576048845</v>
      </c>
      <c r="M48">
        <f t="shared" si="28"/>
        <v>17.666855203610606</v>
      </c>
      <c r="N48">
        <f t="shared" si="26"/>
        <v>19.265055079289336</v>
      </c>
      <c r="O48">
        <f t="shared" si="24"/>
        <v>21.007833195587676</v>
      </c>
      <c r="P48">
        <f t="shared" si="22"/>
        <v>22.908268559692889</v>
      </c>
      <c r="Q48">
        <f t="shared" si="20"/>
        <v>24.980623347353884</v>
      </c>
      <c r="R48">
        <f t="shared" si="18"/>
        <v>27.240449936070068</v>
      </c>
      <c r="S48">
        <f t="shared" si="16"/>
        <v>29.70470762084253</v>
      </c>
      <c r="T48">
        <f t="shared" si="14"/>
        <v>32.391889888403149</v>
      </c>
      <c r="U48">
        <f t="shared" si="12"/>
        <v>35.322163205074972</v>
      </c>
      <c r="V48">
        <f t="shared" si="10"/>
        <v>38.517518359823583</v>
      </c>
      <c r="W48">
        <f t="shared" si="8"/>
        <v>42.001935498281952</v>
      </c>
      <c r="X48">
        <f t="shared" si="6"/>
        <v>45.801564086277693</v>
      </c>
      <c r="Y48">
        <f t="shared" si="4"/>
        <v>49.944919153433069</v>
      </c>
      <c r="Z48">
        <f t="shared" si="2"/>
        <v>54.463095289584764</v>
      </c>
      <c r="AA48">
        <f t="shared" si="1"/>
        <v>59.39</v>
      </c>
      <c r="AB48">
        <f t="shared" si="3"/>
        <v>64.762608170647212</v>
      </c>
      <c r="AC48">
        <f t="shared" si="5"/>
        <v>70.621239553203935</v>
      </c>
      <c r="AD48">
        <f t="shared" si="7"/>
        <v>77.009861352240435</v>
      </c>
      <c r="AE48">
        <f t="shared" si="9"/>
        <v>83.976418185401855</v>
      </c>
      <c r="AF48">
        <f t="shared" si="11"/>
        <v>91.573191892837059</v>
      </c>
      <c r="AG48">
        <f t="shared" si="13"/>
        <v>99.857193896132259</v>
      </c>
      <c r="AH48">
        <f t="shared" si="15"/>
        <v>108.89059305128066</v>
      </c>
      <c r="AI48">
        <f t="shared" si="17"/>
        <v>118.74118220659186</v>
      </c>
      <c r="AJ48">
        <f t="shared" si="19"/>
        <v>129.48288696691253</v>
      </c>
      <c r="AK48">
        <f t="shared" si="21"/>
        <v>141.19632048227578</v>
      </c>
      <c r="AL48">
        <f t="shared" si="23"/>
        <v>153.96938842449498</v>
      </c>
      <c r="AM48">
        <f t="shared" si="25"/>
        <v>167.89794869186318</v>
      </c>
      <c r="AN48">
        <f t="shared" si="27"/>
        <v>183.08653079283658</v>
      </c>
      <c r="AO48">
        <f t="shared" si="29"/>
        <v>199.64912030745265</v>
      </c>
      <c r="AP48">
        <f t="shared" si="31"/>
        <v>217.71001431362117</v>
      </c>
      <c r="AQ48">
        <f t="shared" si="33"/>
        <v>237.40475419799705</v>
      </c>
      <c r="AR48">
        <f t="shared" si="35"/>
        <v>258.88114285188914</v>
      </c>
      <c r="AS48">
        <f t="shared" si="37"/>
        <v>282.30035388594456</v>
      </c>
      <c r="AT48">
        <f t="shared" si="39"/>
        <v>307.83814118791838</v>
      </c>
      <c r="AU48">
        <f t="shared" si="41"/>
        <v>335.68615790088461</v>
      </c>
      <c r="AV48">
        <f>$B$6*($B$15^21)</f>
        <v>366.05339472040748</v>
      </c>
      <c r="AW48">
        <f>$B$6*($B$15^22)</f>
        <v>399.16774830464749</v>
      </c>
      <c r="AX48">
        <f>$B$6*($B$15^23)</f>
        <v>435.27773156782979</v>
      </c>
      <c r="AY48">
        <f>$B$6*($B$15^24)</f>
        <v>474.65433869229702</v>
      </c>
    </row>
    <row r="49" spans="1:52" x14ac:dyDescent="0.3">
      <c r="A49">
        <v>25</v>
      </c>
      <c r="B49">
        <f>$B$6*($B$15^-25)</f>
        <v>6.8145658125866229</v>
      </c>
      <c r="C49">
        <f>$B$6*($B$15^-24)</f>
        <v>7.4310330960369688</v>
      </c>
      <c r="D49">
        <f>$B$6*($B$15^-23)</f>
        <v>8.103267969384639</v>
      </c>
      <c r="E49">
        <f>$B$6*($B$15^-22)</f>
        <v>8.8363153460685879</v>
      </c>
      <c r="F49">
        <f>$B$6*($B$15^-21)</f>
        <v>9.6356765184326818</v>
      </c>
      <c r="G49">
        <f t="shared" si="40"/>
        <v>10.507350443212021</v>
      </c>
      <c r="H49">
        <f t="shared" si="38"/>
        <v>11.457878761835603</v>
      </c>
      <c r="I49">
        <f t="shared" si="36"/>
        <v>12.494394893408648</v>
      </c>
      <c r="J49">
        <f t="shared" si="34"/>
        <v>13.624677568802154</v>
      </c>
      <c r="K49">
        <f t="shared" si="32"/>
        <v>14.857209207606333</v>
      </c>
      <c r="L49">
        <f t="shared" si="30"/>
        <v>16.201239576048845</v>
      </c>
      <c r="M49">
        <f t="shared" si="28"/>
        <v>17.666855203610606</v>
      </c>
      <c r="N49">
        <f t="shared" si="26"/>
        <v>19.265055079289336</v>
      </c>
      <c r="O49">
        <f t="shared" si="24"/>
        <v>21.007833195587676</v>
      </c>
      <c r="P49">
        <f t="shared" si="22"/>
        <v>22.908268559692889</v>
      </c>
      <c r="Q49">
        <f t="shared" si="20"/>
        <v>24.980623347353884</v>
      </c>
      <c r="R49">
        <f t="shared" si="18"/>
        <v>27.240449936070068</v>
      </c>
      <c r="S49">
        <f t="shared" si="16"/>
        <v>29.70470762084253</v>
      </c>
      <c r="T49">
        <f t="shared" si="14"/>
        <v>32.391889888403149</v>
      </c>
      <c r="U49">
        <f t="shared" si="12"/>
        <v>35.322163205074972</v>
      </c>
      <c r="V49">
        <f t="shared" si="10"/>
        <v>38.517518359823583</v>
      </c>
      <c r="W49">
        <f t="shared" si="8"/>
        <v>42.001935498281952</v>
      </c>
      <c r="X49">
        <f t="shared" si="6"/>
        <v>45.801564086277693</v>
      </c>
      <c r="Y49">
        <f t="shared" si="4"/>
        <v>49.944919153433069</v>
      </c>
      <c r="Z49">
        <f t="shared" si="2"/>
        <v>54.463095289584764</v>
      </c>
      <c r="AA49">
        <f t="shared" si="1"/>
        <v>59.39</v>
      </c>
      <c r="AB49">
        <f t="shared" si="3"/>
        <v>64.762608170647212</v>
      </c>
      <c r="AC49">
        <f t="shared" si="5"/>
        <v>70.621239553203935</v>
      </c>
      <c r="AD49">
        <f t="shared" si="7"/>
        <v>77.009861352240435</v>
      </c>
      <c r="AE49">
        <f t="shared" si="9"/>
        <v>83.976418185401855</v>
      </c>
      <c r="AF49">
        <f t="shared" si="11"/>
        <v>91.573191892837059</v>
      </c>
      <c r="AG49">
        <f t="shared" si="13"/>
        <v>99.857193896132259</v>
      </c>
      <c r="AH49">
        <f t="shared" si="15"/>
        <v>108.89059305128066</v>
      </c>
      <c r="AI49">
        <f t="shared" si="17"/>
        <v>118.74118220659186</v>
      </c>
      <c r="AJ49">
        <f t="shared" si="19"/>
        <v>129.48288696691253</v>
      </c>
      <c r="AK49">
        <f t="shared" si="21"/>
        <v>141.19632048227578</v>
      </c>
      <c r="AL49">
        <f t="shared" si="23"/>
        <v>153.96938842449498</v>
      </c>
      <c r="AM49">
        <f t="shared" si="25"/>
        <v>167.89794869186318</v>
      </c>
      <c r="AN49">
        <f t="shared" si="27"/>
        <v>183.08653079283658</v>
      </c>
      <c r="AO49">
        <f t="shared" si="29"/>
        <v>199.64912030745265</v>
      </c>
      <c r="AP49">
        <f t="shared" si="31"/>
        <v>217.71001431362117</v>
      </c>
      <c r="AQ49">
        <f t="shared" si="33"/>
        <v>237.40475419799705</v>
      </c>
      <c r="AR49">
        <f t="shared" si="35"/>
        <v>258.88114285188914</v>
      </c>
      <c r="AS49">
        <f t="shared" si="37"/>
        <v>282.30035388594456</v>
      </c>
      <c r="AT49">
        <f t="shared" si="39"/>
        <v>307.83814118791838</v>
      </c>
      <c r="AU49">
        <f t="shared" si="41"/>
        <v>335.68615790088461</v>
      </c>
      <c r="AV49">
        <f>$B$6*($B$15^21)</f>
        <v>366.05339472040748</v>
      </c>
      <c r="AW49">
        <f>$B$6*($B$15^22)</f>
        <v>399.16774830464749</v>
      </c>
      <c r="AX49">
        <f>$B$6*($B$15^23)</f>
        <v>435.27773156782979</v>
      </c>
      <c r="AY49">
        <f>$B$6*($B$15^24)</f>
        <v>474.65433869229702</v>
      </c>
      <c r="AZ49">
        <f>$B$6*($B$15^25)</f>
        <v>517.59307885547912</v>
      </c>
    </row>
    <row r="51" spans="1:52" x14ac:dyDescent="0.3">
      <c r="A51" s="8" t="s">
        <v>93</v>
      </c>
    </row>
    <row r="52" spans="1:52" x14ac:dyDescent="0.3">
      <c r="A52" s="21" t="s">
        <v>92</v>
      </c>
      <c r="B52" s="21">
        <v>-25</v>
      </c>
      <c r="C52" s="21">
        <v>-24</v>
      </c>
      <c r="D52" s="21">
        <v>-23</v>
      </c>
      <c r="E52" s="21">
        <v>-22</v>
      </c>
      <c r="F52" s="21">
        <v>-21</v>
      </c>
      <c r="G52" s="21">
        <v>-20</v>
      </c>
      <c r="H52" s="21">
        <v>-19</v>
      </c>
      <c r="I52" s="21">
        <v>-18</v>
      </c>
      <c r="J52" s="21">
        <v>-17</v>
      </c>
      <c r="K52" s="21">
        <v>-16</v>
      </c>
      <c r="L52" s="21">
        <v>-15</v>
      </c>
      <c r="M52" s="21">
        <v>-14</v>
      </c>
      <c r="N52" s="21">
        <v>-13</v>
      </c>
      <c r="O52" s="21">
        <v>-12</v>
      </c>
      <c r="P52" s="21">
        <v>-11</v>
      </c>
      <c r="Q52" s="21">
        <v>-10</v>
      </c>
      <c r="R52" s="21">
        <v>-9</v>
      </c>
      <c r="S52" s="21">
        <v>-8</v>
      </c>
      <c r="T52" s="21">
        <v>-7</v>
      </c>
      <c r="U52" s="21">
        <v>-6</v>
      </c>
      <c r="V52" s="21">
        <v>-5</v>
      </c>
      <c r="W52" s="21">
        <v>-4</v>
      </c>
      <c r="X52" s="21">
        <v>-3</v>
      </c>
      <c r="Y52" s="21">
        <v>-2</v>
      </c>
      <c r="Z52" s="21">
        <v>-1</v>
      </c>
      <c r="AA52" s="21">
        <v>0</v>
      </c>
      <c r="AB52" s="21">
        <v>1</v>
      </c>
      <c r="AC52" s="21">
        <v>2</v>
      </c>
      <c r="AD52" s="21">
        <v>3</v>
      </c>
      <c r="AE52" s="21">
        <v>4</v>
      </c>
      <c r="AF52" s="21">
        <v>5</v>
      </c>
      <c r="AG52" s="21">
        <v>6</v>
      </c>
      <c r="AH52" s="21">
        <v>7</v>
      </c>
      <c r="AI52" s="21">
        <v>8</v>
      </c>
      <c r="AJ52" s="21">
        <v>9</v>
      </c>
      <c r="AK52" s="21">
        <v>10</v>
      </c>
      <c r="AL52" s="21">
        <v>11</v>
      </c>
      <c r="AM52" s="21">
        <v>12</v>
      </c>
      <c r="AN52" s="21">
        <v>13</v>
      </c>
      <c r="AO52" s="21">
        <v>14</v>
      </c>
      <c r="AP52" s="21">
        <v>15</v>
      </c>
      <c r="AQ52" s="21">
        <v>16</v>
      </c>
      <c r="AR52" s="21">
        <v>17</v>
      </c>
      <c r="AS52" s="21">
        <v>18</v>
      </c>
      <c r="AT52" s="21">
        <v>19</v>
      </c>
      <c r="AU52" s="21">
        <v>20</v>
      </c>
      <c r="AV52" s="21">
        <v>21</v>
      </c>
      <c r="AW52" s="21">
        <v>22</v>
      </c>
      <c r="AX52" s="21">
        <v>23</v>
      </c>
      <c r="AY52" s="21">
        <v>24</v>
      </c>
      <c r="AZ52" s="21">
        <v>25</v>
      </c>
    </row>
    <row r="53" spans="1:52" x14ac:dyDescent="0.3">
      <c r="A53">
        <v>0</v>
      </c>
      <c r="AA53" s="23">
        <f t="shared" ref="AA53:AA77" si="42">IF($E$6="American", MAX(MAX(IF($E$5="Call", AA24-$B$7, $B$7-AA24), 0), $B$14*($B$18*AB54 + $B$19*AA54 + $B$20*Z54)), $B$14*($B$18*AB54 + $B$19*AA54 + $B$20*Z54))</f>
        <v>1.3360241348305477</v>
      </c>
    </row>
    <row r="54" spans="1:52" x14ac:dyDescent="0.3">
      <c r="A54">
        <v>1</v>
      </c>
      <c r="Z54">
        <f t="shared" ref="Z54:Z77" si="43">IF($E$6="American", MAX(MAX(IF($E$5="Call", Z25-$B$7, $B$7-Z25), 0), $B$14*($B$18*AA55 + $B$19*Z55 + $B$20*Y55)), $B$14*($B$18*AA55 + $B$19*Z55 + $B$20*Y55))</f>
        <v>0.57301284516224948</v>
      </c>
      <c r="AA54">
        <f t="shared" si="42"/>
        <v>1.2426845837685145</v>
      </c>
      <c r="AB54">
        <f t="shared" ref="AB54:AB77" si="44">IF($E$6="American", MAX(MAX(IF($E$5="Call", AB25-$B$7, $B$7-AB25), 0), $B$14*($B$18*AC55 + $B$19*AB55 + $B$20*AA55)), $B$14*($B$18*AC55 + $B$19*AB55 + $B$20*AA55))</f>
        <v>2.4623230576265227</v>
      </c>
    </row>
    <row r="55" spans="1:52" x14ac:dyDescent="0.3">
      <c r="A55">
        <v>2</v>
      </c>
      <c r="Y55">
        <f t="shared" ref="Y55:Y77" si="45">IF($E$6="American", MAX(MAX(IF($E$5="Call", Y26-$B$7, $B$7-Y26), 0), $B$14*($B$18*Z56 + $B$19*Y56 + $B$20*X56)), $B$14*($B$18*Z56 + $B$19*Y56 + $B$20*X56))</f>
        <v>0.21075442910388642</v>
      </c>
      <c r="Z55">
        <f t="shared" si="43"/>
        <v>0.51771361577355302</v>
      </c>
      <c r="AA55">
        <f t="shared" si="42"/>
        <v>1.1505787409672563</v>
      </c>
      <c r="AB55">
        <f t="shared" si="44"/>
        <v>2.326092811359624</v>
      </c>
      <c r="AC55">
        <f t="shared" ref="AC55:AC77" si="46">IF($E$6="American", MAX(MAX(IF($E$5="Call", AC26-$B$7, $B$7-AC26), 0), $B$14*($B$18*AD56 + $B$19*AC56 + $B$20*AB56)), $B$14*($B$18*AD56 + $B$19*AC56 + $B$20*AB56))</f>
        <v>4.3044074406142885</v>
      </c>
    </row>
    <row r="56" spans="1:52" x14ac:dyDescent="0.3">
      <c r="A56">
        <v>3</v>
      </c>
      <c r="X56">
        <f t="shared" ref="X56:X77" si="47">IF($E$6="American", MAX(MAX(IF($E$5="Call", X27-$B$7, $B$7-X27), 0), $B$14*($B$18*Y57 + $B$19*X57 + $B$20*W57)), $B$14*($B$18*Y57 + $B$19*X57 + $B$20*W57))</f>
        <v>6.4678948336434797E-2</v>
      </c>
      <c r="Y56">
        <f t="shared" si="45"/>
        <v>0.1831558590093984</v>
      </c>
      <c r="Z56">
        <f t="shared" si="43"/>
        <v>0.46440265978575684</v>
      </c>
      <c r="AA56">
        <f t="shared" si="42"/>
        <v>1.059859755518658</v>
      </c>
      <c r="AB56">
        <f t="shared" si="44"/>
        <v>2.1897662393465245</v>
      </c>
      <c r="AC56">
        <f t="shared" si="46"/>
        <v>4.1228438121048541</v>
      </c>
      <c r="AD56">
        <f t="shared" ref="AD56:AD77" si="48">IF($E$6="American", MAX(MAX(IF($E$5="Call", AD27-$B$7, $B$7-AD27), 0), $B$14*($B$18*AE57 + $B$19*AD57 + $B$20*AC57)), $B$14*($B$18*AE57 + $B$19*AD57 + $B$20*AC57))</f>
        <v>7.1268001873799367</v>
      </c>
    </row>
    <row r="57" spans="1:52" x14ac:dyDescent="0.3">
      <c r="A57">
        <v>4</v>
      </c>
      <c r="W57">
        <f t="shared" ref="W57:W77" si="49">IF($E$6="American", MAX(MAX(IF($E$5="Call", W28-$B$7, $B$7-W28), 0), $B$14*($B$18*X58 + $B$19*W58 + $B$20*V58)), $B$14*($B$18*X58 + $B$19*W58 + $B$20*V58))</f>
        <v>1.6023740633818187E-2</v>
      </c>
      <c r="X57">
        <f t="shared" si="47"/>
        <v>5.3381128076067819E-2</v>
      </c>
      <c r="Y57">
        <f t="shared" si="45"/>
        <v>0.15743236354730181</v>
      </c>
      <c r="Z57">
        <f t="shared" si="43"/>
        <v>0.4132214434630761</v>
      </c>
      <c r="AA57">
        <f t="shared" si="42"/>
        <v>0.97069931757283678</v>
      </c>
      <c r="AB57">
        <f t="shared" si="44"/>
        <v>2.0534360715778606</v>
      </c>
      <c r="AC57">
        <f t="shared" si="46"/>
        <v>3.9392012413892723</v>
      </c>
      <c r="AD57">
        <f t="shared" si="48"/>
        <v>6.9075794556457728</v>
      </c>
      <c r="AE57">
        <f t="shared" ref="AE57:AE77" si="50">IF($E$6="American", MAX(MAX(IF($E$5="Call", AE28-$B$7, $B$7-AE28), 0), $B$14*($B$18*AF58 + $B$19*AE58 + $B$20*AD58)), $B$14*($B$18*AF58 + $B$19*AE58 + $B$20*AD58))</f>
        <v>11.172060348926893</v>
      </c>
    </row>
    <row r="58" spans="1:52" x14ac:dyDescent="0.3">
      <c r="A58">
        <v>5</v>
      </c>
      <c r="V58">
        <f t="shared" ref="V58:V77" si="51">IF($E$6="American", MAX(MAX(IF($E$5="Call", V29-$B$7, $B$7-V29), 0), $B$14*($B$18*W59 + $B$19*V59 + $B$20*U59)), $B$14*($B$18*W59 + $B$19*V59 + $B$20*U59))</f>
        <v>3.0747313969286152E-3</v>
      </c>
      <c r="W58">
        <f t="shared" si="49"/>
        <v>1.2349676747862763E-2</v>
      </c>
      <c r="X58">
        <f t="shared" si="47"/>
        <v>4.3334828714104566E-2</v>
      </c>
      <c r="Y58">
        <f t="shared" si="45"/>
        <v>0.13364007790651594</v>
      </c>
      <c r="Z58">
        <f t="shared" si="43"/>
        <v>0.36431986462468435</v>
      </c>
      <c r="AA58">
        <f t="shared" si="42"/>
        <v>0.88329020075959419</v>
      </c>
      <c r="AB58">
        <f t="shared" si="44"/>
        <v>1.9172135745406926</v>
      </c>
      <c r="AC58">
        <f t="shared" si="46"/>
        <v>3.7534024341535726</v>
      </c>
      <c r="AD58">
        <f t="shared" si="48"/>
        <v>6.6844312951846625</v>
      </c>
      <c r="AE58">
        <f t="shared" si="50"/>
        <v>10.93365897627527</v>
      </c>
      <c r="AF58">
        <f t="shared" ref="AF58:AF77" si="52">IF($E$6="American", MAX(MAX(IF($E$5="Call", AF29-$B$7, $B$7-AF29), 0), $B$14*($B$18*AG59 + $B$19*AF59 + $B$20*AE59)), $B$14*($B$18*AG59 + $B$19*AF59 + $B$20*AE59))</f>
        <v>16.600407695306206</v>
      </c>
    </row>
    <row r="59" spans="1:52" x14ac:dyDescent="0.3">
      <c r="A59">
        <v>6</v>
      </c>
      <c r="U59">
        <f t="shared" ref="U59:U77" si="53">IF($E$6="American", MAX(MAX(IF($E$5="Call", U30-$B$7, $B$7-U30), 0), $B$14*($B$18*V60 + $B$19*U60 + $B$20*T60)), $B$14*($B$18*V60 + $B$19*U60 + $B$20*T60))</f>
        <v>4.3282285875043353E-4</v>
      </c>
      <c r="V59">
        <f t="shared" si="51"/>
        <v>2.1628859325394322E-3</v>
      </c>
      <c r="W59">
        <f t="shared" si="49"/>
        <v>9.2862210916965886E-3</v>
      </c>
      <c r="X59">
        <f t="shared" si="47"/>
        <v>3.4516673157713292E-2</v>
      </c>
      <c r="Y59">
        <f t="shared" si="45"/>
        <v>0.11182913909917085</v>
      </c>
      <c r="Z59">
        <f t="shared" si="43"/>
        <v>0.31785590393166291</v>
      </c>
      <c r="AA59">
        <f t="shared" si="42"/>
        <v>0.79784915246498178</v>
      </c>
      <c r="AB59">
        <f t="shared" si="44"/>
        <v>1.7812325648896854</v>
      </c>
      <c r="AC59">
        <f t="shared" si="46"/>
        <v>3.5653676391831515</v>
      </c>
      <c r="AD59">
        <f t="shared" si="48"/>
        <v>6.4570813347129024</v>
      </c>
      <c r="AE59">
        <f t="shared" si="50"/>
        <v>10.690726314593977</v>
      </c>
      <c r="AF59">
        <f t="shared" si="52"/>
        <v>16.366864668455875</v>
      </c>
      <c r="AG59">
        <f t="shared" ref="AG59:AG77" si="54">IF($E$6="American", MAX(MAX(IF($E$5="Call", AG30-$B$7, $B$7-AG30), 0), $B$14*($B$18*AH60 + $B$19*AG60 + $B$20*AF60)), $B$14*($B$18*AH60 + $B$19*AG60 + $B$20*AF60))</f>
        <v>23.449066008458306</v>
      </c>
    </row>
    <row r="60" spans="1:52" x14ac:dyDescent="0.3">
      <c r="A60">
        <v>7</v>
      </c>
      <c r="T60">
        <f t="shared" ref="T60:T77" si="55">IF($E$6="American", MAX(MAX(IF($E$5="Call", T31-$B$7, $B$7-T31), 0), $B$14*($B$18*U61 + $B$19*T61 + $B$20*S61)), $B$14*($B$18*U61 + $B$19*T61 + $B$20*S61))</f>
        <v>4.1429956422005348E-5</v>
      </c>
      <c r="U60">
        <f t="shared" si="53"/>
        <v>2.6901343042780198E-4</v>
      </c>
      <c r="V60">
        <f t="shared" si="51"/>
        <v>1.4663358340343026E-3</v>
      </c>
      <c r="W60">
        <f t="shared" si="49"/>
        <v>6.784740165180856E-3</v>
      </c>
      <c r="X60">
        <f t="shared" si="47"/>
        <v>2.6892967607453303E-2</v>
      </c>
      <c r="Y60">
        <f t="shared" si="45"/>
        <v>9.2041371917940693E-2</v>
      </c>
      <c r="Z60">
        <f t="shared" si="43"/>
        <v>0.27399484728544843</v>
      </c>
      <c r="AA60">
        <f t="shared" si="42"/>
        <v>0.71462015505503307</v>
      </c>
      <c r="AB60">
        <f t="shared" si="44"/>
        <v>1.6456544411479486</v>
      </c>
      <c r="AC60">
        <f t="shared" si="46"/>
        <v>3.3750154112159709</v>
      </c>
      <c r="AD60">
        <f t="shared" si="48"/>
        <v>6.2252203887710227</v>
      </c>
      <c r="AE60">
        <f t="shared" si="50"/>
        <v>10.442934672780265</v>
      </c>
      <c r="AF60">
        <f t="shared" si="52"/>
        <v>16.130022584384651</v>
      </c>
      <c r="AG60">
        <f t="shared" si="54"/>
        <v>23.24025144585903</v>
      </c>
      <c r="AH60">
        <f t="shared" ref="AH60:AH77" si="56">IF($E$6="American", MAX(MAX(IF($E$5="Call", AH31-$B$7, $B$7-AH31), 0), $B$14*($B$18*AI61 + $B$19*AH61 + $B$20*AG61)), $B$14*($B$18*AI61 + $B$19*AH61 + $B$20*AG61))</f>
        <v>31.640603106884036</v>
      </c>
    </row>
    <row r="61" spans="1:52" x14ac:dyDescent="0.3">
      <c r="A61">
        <v>8</v>
      </c>
      <c r="S61">
        <f t="shared" ref="S61:S77" si="57">IF($E$6="American", MAX(MAX(IF($E$5="Call", S32-$B$7, $B$7-S32), 0), $B$14*($B$18*T62 + $B$19*S62 + $B$20*R62)), $B$14*($B$18*T62 + $B$19*S62 + $B$20*R62))</f>
        <v>2.4016354272474711E-6</v>
      </c>
      <c r="T61">
        <f t="shared" si="55"/>
        <v>2.1656850258630325E-5</v>
      </c>
      <c r="U61">
        <f t="shared" si="53"/>
        <v>1.5806147277485711E-4</v>
      </c>
      <c r="V61">
        <f t="shared" si="51"/>
        <v>9.5148882372253485E-4</v>
      </c>
      <c r="W61">
        <f t="shared" si="49"/>
        <v>4.7919039734966133E-3</v>
      </c>
      <c r="X61">
        <f t="shared" si="47"/>
        <v>2.0418496983143446E-2</v>
      </c>
      <c r="Y61">
        <f t="shared" si="45"/>
        <v>7.4307461532607852E-2</v>
      </c>
      <c r="Z61">
        <f t="shared" si="43"/>
        <v>0.23290789577591822</v>
      </c>
      <c r="AA61">
        <f t="shared" si="42"/>
        <v>0.63387806204000452</v>
      </c>
      <c r="AB61">
        <f t="shared" si="44"/>
        <v>1.5106745339313261</v>
      </c>
      <c r="AC61">
        <f t="shared" si="46"/>
        <v>3.1822638415944864</v>
      </c>
      <c r="AD61">
        <f t="shared" si="48"/>
        <v>5.9884979255311794</v>
      </c>
      <c r="AE61">
        <f t="shared" si="50"/>
        <v>10.189913503053397</v>
      </c>
      <c r="AF61">
        <f t="shared" si="52"/>
        <v>15.889742308024731</v>
      </c>
      <c r="AG61">
        <f t="shared" si="54"/>
        <v>23.030540602868658</v>
      </c>
      <c r="AH61">
        <f t="shared" si="56"/>
        <v>31.464060378556525</v>
      </c>
      <c r="AI61">
        <f t="shared" ref="AI61:AI77" si="58">IF($E$6="American", MAX(MAX(IF($E$5="Call", AI32-$B$7, $B$7-AI32), 0), $B$14*($B$18*AJ62 + $B$19*AI62 + $B$20*AH62)), $B$14*($B$18*AJ62 + $B$19*AI62 + $B$20*AH62))</f>
        <v>41.042446688153078</v>
      </c>
    </row>
    <row r="62" spans="1:52" x14ac:dyDescent="0.3">
      <c r="A62">
        <v>9</v>
      </c>
      <c r="R62">
        <f t="shared" ref="R62:R77" si="59">IF($E$6="American", MAX(MAX(IF($E$5="Call", R33-$B$7, $B$7-R33), 0), $B$14*($B$18*S63 + $B$19*R63 + $B$20*Q63)), $B$14*($B$18*S63 + $B$19*R63 + $B$20*Q63))</f>
        <v>6.8836860349431377E-8</v>
      </c>
      <c r="S62">
        <f t="shared" si="57"/>
        <v>9.7120243926107839E-7</v>
      </c>
      <c r="T62">
        <f t="shared" si="55"/>
        <v>1.0354532666501598E-5</v>
      </c>
      <c r="U62">
        <f t="shared" si="53"/>
        <v>8.6720189407463844E-5</v>
      </c>
      <c r="V62">
        <f t="shared" si="51"/>
        <v>5.8567673999451058E-4</v>
      </c>
      <c r="W62">
        <f t="shared" si="49"/>
        <v>3.2502911376801635E-3</v>
      </c>
      <c r="X62">
        <f t="shared" si="47"/>
        <v>1.5035427729771006E-2</v>
      </c>
      <c r="Y62">
        <f t="shared" si="45"/>
        <v>5.8643546778690943E-2</v>
      </c>
      <c r="Z62">
        <f t="shared" si="43"/>
        <v>0.19476991215533423</v>
      </c>
      <c r="AA62">
        <f t="shared" si="42"/>
        <v>0.55593257569305832</v>
      </c>
      <c r="AB62">
        <f t="shared" si="44"/>
        <v>1.3765301757565009</v>
      </c>
      <c r="AC62">
        <f t="shared" si="46"/>
        <v>2.9870324885933188</v>
      </c>
      <c r="AD62">
        <f t="shared" si="48"/>
        <v>5.7465138686521229</v>
      </c>
      <c r="AE62">
        <f t="shared" si="50"/>
        <v>9.9312411309645192</v>
      </c>
      <c r="AF62">
        <f t="shared" si="52"/>
        <v>15.645880652107843</v>
      </c>
      <c r="AG62">
        <f t="shared" si="54"/>
        <v>22.820084808538294</v>
      </c>
      <c r="AH62">
        <f t="shared" si="56"/>
        <v>31.288635565696357</v>
      </c>
      <c r="AI62">
        <f t="shared" si="58"/>
        <v>40.89291058519111</v>
      </c>
      <c r="AJ62">
        <f t="shared" ref="AJ62:AJ77" si="60">IF($E$6="American", MAX(MAX(IF($E$5="Call", AJ33-$B$7, $B$7-AJ33), 0), $B$14*($B$18*AK63 + $B$19*AJ63 + $B$20*AI63)), $B$14*($B$18*AK63 + $B$19*AJ63 + $B$20*AI63))</f>
        <v>51.543152122517526</v>
      </c>
    </row>
    <row r="63" spans="1:52" x14ac:dyDescent="0.3">
      <c r="A63">
        <v>10</v>
      </c>
      <c r="Q63">
        <f t="shared" ref="Q63:Q77" si="61">IF($E$6="American", MAX(MAX(IF($E$5="Call", Q34-$B$7, $B$7-Q34), 0), $B$14*($B$18*R64 + $B$19*Q64 + $B$20*P64)), $B$14*($B$18*R64 + $B$19*Q64 + $B$20*P64))</f>
        <v>6.1523475242272983E-10</v>
      </c>
      <c r="R63">
        <f t="shared" si="59"/>
        <v>1.8124750085037921E-8</v>
      </c>
      <c r="S63">
        <f t="shared" si="57"/>
        <v>3.3649595253317173E-7</v>
      </c>
      <c r="T63">
        <f t="shared" si="55"/>
        <v>4.4190783548634152E-6</v>
      </c>
      <c r="U63">
        <f t="shared" si="53"/>
        <v>4.3688257530308953E-5</v>
      </c>
      <c r="V63">
        <f t="shared" si="51"/>
        <v>3.3793850006737865E-4</v>
      </c>
      <c r="W63">
        <f t="shared" si="49"/>
        <v>2.099321945345125E-3</v>
      </c>
      <c r="X63">
        <f t="shared" si="47"/>
        <v>1.0672449033897639E-2</v>
      </c>
      <c r="Y63">
        <f t="shared" si="45"/>
        <v>4.5047188726202864E-2</v>
      </c>
      <c r="Z63">
        <f t="shared" si="43"/>
        <v>0.15975596384962878</v>
      </c>
      <c r="AA63">
        <f t="shared" si="42"/>
        <v>0.48113246362707418</v>
      </c>
      <c r="AB63">
        <f t="shared" si="44"/>
        <v>1.243511028522456</v>
      </c>
      <c r="AC63">
        <f t="shared" si="46"/>
        <v>2.7892453622317253</v>
      </c>
      <c r="AD63">
        <f t="shared" si="48"/>
        <v>5.4988081825458428</v>
      </c>
      <c r="AE63">
        <f t="shared" si="50"/>
        <v>9.6664343245385833</v>
      </c>
      <c r="AF63">
        <f t="shared" si="52"/>
        <v>15.398292661961118</v>
      </c>
      <c r="AG63">
        <f t="shared" si="54"/>
        <v>22.609078399148281</v>
      </c>
      <c r="AH63">
        <f t="shared" si="56"/>
        <v>31.114600650986517</v>
      </c>
      <c r="AI63">
        <f t="shared" si="58"/>
        <v>40.745056666813241</v>
      </c>
      <c r="AJ63">
        <f t="shared" si="60"/>
        <v>51.409460263769958</v>
      </c>
      <c r="AK63">
        <f t="shared" ref="AK63:AK77" si="62">IF($E$6="American", MAX(MAX(IF($E$5="Call", AK34-$B$7, $B$7-AK34), 0), $B$14*($B$18*AL64 + $B$19*AK64 + $B$20*AJ64)), $B$14*($B$18*AL64 + $B$19*AK64 + $B$20*AJ64))</f>
        <v>63.100183823881856</v>
      </c>
    </row>
    <row r="64" spans="1:52" x14ac:dyDescent="0.3">
      <c r="A64">
        <v>11</v>
      </c>
      <c r="P64">
        <f t="shared" ref="P64:P77" si="63">IF($E$6="American", MAX(MAX(IF($E$5="Call", P35-$B$7, $B$7-P35), 0), $B$14*($B$18*Q65 + $B$19*P65 + $B$20*O65)), $B$14*($B$18*Q65 + $B$19*P65 + $B$20*O65))</f>
        <v>0</v>
      </c>
      <c r="Q64">
        <f t="shared" si="61"/>
        <v>5.8738196896956038E-11</v>
      </c>
      <c r="R64">
        <f t="shared" si="59"/>
        <v>3.4208906136459303E-9</v>
      </c>
      <c r="S64">
        <f t="shared" si="57"/>
        <v>9.4040864013488892E-8</v>
      </c>
      <c r="T64">
        <f t="shared" si="55"/>
        <v>1.6229881064152134E-6</v>
      </c>
      <c r="U64">
        <f t="shared" si="53"/>
        <v>1.9732826328775005E-5</v>
      </c>
      <c r="V64">
        <f t="shared" si="51"/>
        <v>1.798342974417014E-4</v>
      </c>
      <c r="W64">
        <f t="shared" si="49"/>
        <v>1.2765694563615555E-3</v>
      </c>
      <c r="X64">
        <f t="shared" si="47"/>
        <v>7.2443366324321965E-3</v>
      </c>
      <c r="Y64">
        <f t="shared" si="45"/>
        <v>3.3492715721079397E-2</v>
      </c>
      <c r="Z64">
        <f t="shared" si="43"/>
        <v>0.12803620838610458</v>
      </c>
      <c r="AA64">
        <f t="shared" si="42"/>
        <v>0.40986978916756234</v>
      </c>
      <c r="AB64">
        <f t="shared" si="44"/>
        <v>1.111972393181442</v>
      </c>
      <c r="AC64">
        <f t="shared" si="46"/>
        <v>2.5888355149602114</v>
      </c>
      <c r="AD64">
        <f t="shared" si="48"/>
        <v>5.2448474614817746</v>
      </c>
      <c r="AE64">
        <f t="shared" si="50"/>
        <v>9.3949349758458105</v>
      </c>
      <c r="AF64">
        <f t="shared" si="52"/>
        <v>15.146835406193984</v>
      </c>
      <c r="AG64">
        <f t="shared" si="54"/>
        <v>22.397770302684332</v>
      </c>
      <c r="AH64">
        <f t="shared" si="56"/>
        <v>30.942265251816082</v>
      </c>
      <c r="AI64">
        <f t="shared" si="58"/>
        <v>40.599033264368401</v>
      </c>
      <c r="AJ64">
        <f t="shared" si="60"/>
        <v>51.276863424281437</v>
      </c>
      <c r="AK64">
        <f t="shared" si="62"/>
        <v>62.972931376909997</v>
      </c>
      <c r="AL64">
        <f t="shared" ref="AL64:AL77" si="64">IF($E$6="American", MAX(MAX(IF($E$5="Call", AL35-$B$7, $B$7-AL35), 0), $B$14*($B$18*AM65 + $B$19*AL65 + $B$20*AK65)), $B$14*($B$18*AM65 + $B$19*AL65 + $B$20*AK65))</f>
        <v>75.742134990437648</v>
      </c>
    </row>
    <row r="65" spans="1:52" x14ac:dyDescent="0.3">
      <c r="A65">
        <v>12</v>
      </c>
      <c r="O65">
        <f t="shared" ref="O65:O77" si="65">IF($E$6="American", MAX(MAX(IF($E$5="Call", O36-$B$7, $B$7-O36), 0), $B$14*($B$18*P66 + $B$19*O66 + $B$20*N66)), $B$14*($B$18*P66 + $B$19*O66 + $B$20*N66))</f>
        <v>0</v>
      </c>
      <c r="P65">
        <f t="shared" si="63"/>
        <v>0</v>
      </c>
      <c r="Q65">
        <f t="shared" si="61"/>
        <v>0</v>
      </c>
      <c r="R65">
        <f t="shared" si="59"/>
        <v>3.4876496889974536E-10</v>
      </c>
      <c r="S65">
        <f t="shared" si="57"/>
        <v>1.8933593026977197E-8</v>
      </c>
      <c r="T65">
        <f t="shared" si="55"/>
        <v>4.8321116643105522E-7</v>
      </c>
      <c r="U65">
        <f t="shared" si="53"/>
        <v>7.7085123491004943E-6</v>
      </c>
      <c r="V65">
        <f t="shared" si="51"/>
        <v>8.6229663685218142E-5</v>
      </c>
      <c r="W65">
        <f t="shared" si="49"/>
        <v>7.1947667829359418E-4</v>
      </c>
      <c r="X65">
        <f t="shared" si="47"/>
        <v>4.6521859593505362E-3</v>
      </c>
      <c r="Y65">
        <f t="shared" si="45"/>
        <v>2.3926035998083638E-2</v>
      </c>
      <c r="Z65">
        <f t="shared" si="43"/>
        <v>9.9768527454316011E-2</v>
      </c>
      <c r="AA65">
        <f t="shared" si="42"/>
        <v>0.34258371688982703</v>
      </c>
      <c r="AB65">
        <f t="shared" si="44"/>
        <v>0.98235247774035572</v>
      </c>
      <c r="AC65">
        <f t="shared" si="46"/>
        <v>2.3857521104538826</v>
      </c>
      <c r="AD65">
        <f t="shared" si="48"/>
        <v>4.9840073965773817</v>
      </c>
      <c r="AE65">
        <f t="shared" si="50"/>
        <v>9.1160928647071362</v>
      </c>
      <c r="AF65">
        <f t="shared" si="52"/>
        <v>14.891374129184083</v>
      </c>
      <c r="AG65">
        <f t="shared" si="54"/>
        <v>22.186479054692867</v>
      </c>
      <c r="AH65">
        <f t="shared" si="56"/>
        <v>30.771980055474909</v>
      </c>
      <c r="AI65">
        <f t="shared" si="58"/>
        <v>40.45498191814476</v>
      </c>
      <c r="AJ65">
        <f t="shared" si="60"/>
        <v>51.145340674439247</v>
      </c>
      <c r="AK65">
        <f t="shared" si="62"/>
        <v>62.846011034640455</v>
      </c>
      <c r="AL65">
        <f t="shared" si="64"/>
        <v>75.616530076271289</v>
      </c>
      <c r="AM65">
        <f t="shared" ref="AM65:AM77" si="66">IF($E$6="American", MAX(MAX(IF($E$5="Call", AM36-$B$7, $B$7-AM36), 0), $B$14*($B$18*AN66 + $B$19*AM66 + $B$20*AL66)), $B$14*($B$18*AN66 + $B$19*AM66 + $B$20*AL66))</f>
        <v>89.544680939382445</v>
      </c>
    </row>
    <row r="66" spans="1:52" x14ac:dyDescent="0.3">
      <c r="A66">
        <v>13</v>
      </c>
      <c r="N66">
        <f t="shared" ref="N66:N77" si="67">IF($E$6="American", MAX(MAX(IF($E$5="Call", N37-$B$7, $B$7-N37), 0), $B$14*($B$18*O67 + $B$19*N67 + $B$20*M67)), $B$14*($B$18*O67 + $B$19*N67 + $B$20*M67))</f>
        <v>0</v>
      </c>
      <c r="O66">
        <f t="shared" si="65"/>
        <v>0</v>
      </c>
      <c r="P66">
        <f t="shared" si="63"/>
        <v>0</v>
      </c>
      <c r="Q66">
        <f t="shared" si="61"/>
        <v>0</v>
      </c>
      <c r="R66">
        <f t="shared" si="59"/>
        <v>0</v>
      </c>
      <c r="S66">
        <f t="shared" si="57"/>
        <v>2.0708331198015356E-9</v>
      </c>
      <c r="T66">
        <f t="shared" si="55"/>
        <v>1.0423633526260619E-7</v>
      </c>
      <c r="U66">
        <f t="shared" si="53"/>
        <v>2.4551513440951624E-6</v>
      </c>
      <c r="V66">
        <f t="shared" si="51"/>
        <v>3.5965498636171516E-5</v>
      </c>
      <c r="W66">
        <f t="shared" si="49"/>
        <v>3.6746380881150849E-4</v>
      </c>
      <c r="X66">
        <f t="shared" si="47"/>
        <v>2.7846261017979504E-3</v>
      </c>
      <c r="Y66">
        <f t="shared" si="45"/>
        <v>1.6259167604411127E-2</v>
      </c>
      <c r="Z66">
        <f t="shared" si="43"/>
        <v>7.5088159510621866E-2</v>
      </c>
      <c r="AA66">
        <f t="shared" si="42"/>
        <v>0.2797630883229188</v>
      </c>
      <c r="AB66">
        <f t="shared" si="44"/>
        <v>0.85519493270008828</v>
      </c>
      <c r="AC66">
        <f t="shared" si="46"/>
        <v>2.1799713784729993</v>
      </c>
      <c r="AD66">
        <f t="shared" si="48"/>
        <v>4.7155494575379935</v>
      </c>
      <c r="AE66">
        <f t="shared" si="50"/>
        <v>8.8291430176942853</v>
      </c>
      <c r="AF66">
        <f t="shared" si="52"/>
        <v>14.631792147264999</v>
      </c>
      <c r="AG66">
        <f t="shared" si="54"/>
        <v>21.975612317392613</v>
      </c>
      <c r="AH66">
        <f t="shared" si="56"/>
        <v>30.60413917731297</v>
      </c>
      <c r="AI66">
        <f t="shared" si="58"/>
        <v>40.313029403132248</v>
      </c>
      <c r="AJ66">
        <f t="shared" si="60"/>
        <v>51.014846727998275</v>
      </c>
      <c r="AK66">
        <f t="shared" si="62"/>
        <v>62.719353762368797</v>
      </c>
      <c r="AL66">
        <f t="shared" si="64"/>
        <v>75.490853243231413</v>
      </c>
      <c r="AM66">
        <f t="shared" si="66"/>
        <v>89.419195083806414</v>
      </c>
      <c r="AN66">
        <f t="shared" ref="AN66:AN77" si="68">IF($E$6="American", MAX(MAX(IF($E$5="Call", AN37-$B$7, $B$7-AN37), 0), $B$14*($B$18*AO67 + $B$19*AN67 + $B$20*AM67)), $B$14*($B$18*AO67 + $B$19*AN67 + $B$20*AM67))</f>
        <v>104.60774550760416</v>
      </c>
    </row>
    <row r="67" spans="1:52" x14ac:dyDescent="0.3">
      <c r="A67">
        <v>14</v>
      </c>
      <c r="M67">
        <f t="shared" ref="M67:M77" si="69">IF($E$6="American", MAX(MAX(IF($E$5="Call", M38-$B$7, $B$7-M38), 0), $B$14*($B$18*N68 + $B$19*M68 + $B$20*L68)), $B$14*($B$18*N68 + $B$19*M68 + $B$20*L68))</f>
        <v>0</v>
      </c>
      <c r="N67">
        <f t="shared" si="67"/>
        <v>0</v>
      </c>
      <c r="O67">
        <f t="shared" si="65"/>
        <v>0</v>
      </c>
      <c r="P67">
        <f t="shared" si="63"/>
        <v>0</v>
      </c>
      <c r="Q67">
        <f t="shared" si="61"/>
        <v>0</v>
      </c>
      <c r="R67">
        <f t="shared" si="59"/>
        <v>0</v>
      </c>
      <c r="S67">
        <f t="shared" si="57"/>
        <v>0</v>
      </c>
      <c r="T67">
        <f t="shared" si="55"/>
        <v>1.2295815785614848E-8</v>
      </c>
      <c r="U67">
        <f t="shared" si="53"/>
        <v>5.7032143825989323E-7</v>
      </c>
      <c r="V67">
        <f t="shared" si="51"/>
        <v>1.231179135599004E-5</v>
      </c>
      <c r="W67">
        <f t="shared" si="49"/>
        <v>1.6433550280169407E-4</v>
      </c>
      <c r="X67">
        <f t="shared" si="47"/>
        <v>1.5203752290330057E-3</v>
      </c>
      <c r="Y67">
        <f t="shared" si="45"/>
        <v>1.0364997545271322E-2</v>
      </c>
      <c r="Z67">
        <f t="shared" si="43"/>
        <v>5.4093438643775082E-2</v>
      </c>
      <c r="AA67">
        <f t="shared" si="42"/>
        <v>0.2219463408042037</v>
      </c>
      <c r="AB67">
        <f t="shared" si="44"/>
        <v>0.73117838475774388</v>
      </c>
      <c r="AC67">
        <f t="shared" si="46"/>
        <v>1.9715137812339869</v>
      </c>
      <c r="AD67">
        <f t="shared" si="48"/>
        <v>4.4385892693737468</v>
      </c>
      <c r="AE67">
        <f t="shared" si="50"/>
        <v>8.5331754759722518</v>
      </c>
      <c r="AF67">
        <f t="shared" si="52"/>
        <v>14.368006760777121</v>
      </c>
      <c r="AG67">
        <f t="shared" si="54"/>
        <v>21.76569226155009</v>
      </c>
      <c r="AH67">
        <f t="shared" si="56"/>
        <v>30.43918021564826</v>
      </c>
      <c r="AI67">
        <f t="shared" si="58"/>
        <v>40.173276740100228</v>
      </c>
      <c r="AJ67">
        <f t="shared" si="60"/>
        <v>50.885307969652565</v>
      </c>
      <c r="AK67">
        <f t="shared" si="62"/>
        <v>62.592883001023978</v>
      </c>
      <c r="AL67">
        <f t="shared" si="64"/>
        <v>75.365069009079178</v>
      </c>
      <c r="AM67">
        <f t="shared" si="66"/>
        <v>89.293524617153139</v>
      </c>
      <c r="AN67">
        <f t="shared" si="68"/>
        <v>104.48208929428417</v>
      </c>
      <c r="AO67">
        <f t="shared" ref="AO67:AO77" si="70">IF($E$6="American", MAX(MAX(IF($E$5="Call", AO38-$B$7, $B$7-AO38), 0), $B$14*($B$18*AP68 + $B$19*AO68 + $B$20*AN68)), $B$14*($B$18*AP68 + $B$19*AO68 + $B$20*AN68))</f>
        <v>121.04466727832583</v>
      </c>
    </row>
    <row r="68" spans="1:52" x14ac:dyDescent="0.3">
      <c r="A68">
        <v>15</v>
      </c>
      <c r="L68">
        <f t="shared" ref="L68:L77" si="71">IF($E$6="American", MAX(MAX(IF($E$5="Call", L39-$B$7, $B$7-L39), 0), $B$14*($B$18*M69 + $B$19*L69 + $B$20*K69)), $B$14*($B$18*M69 + $B$19*L69 + $B$20*K69))</f>
        <v>0</v>
      </c>
      <c r="M68">
        <f t="shared" si="69"/>
        <v>0</v>
      </c>
      <c r="N68">
        <f t="shared" si="67"/>
        <v>0</v>
      </c>
      <c r="O68">
        <f t="shared" si="65"/>
        <v>0</v>
      </c>
      <c r="P68">
        <f t="shared" si="63"/>
        <v>0</v>
      </c>
      <c r="Q68">
        <f t="shared" si="61"/>
        <v>0</v>
      </c>
      <c r="R68">
        <f t="shared" si="59"/>
        <v>0</v>
      </c>
      <c r="S68">
        <f t="shared" si="57"/>
        <v>0</v>
      </c>
      <c r="T68">
        <f t="shared" si="55"/>
        <v>0</v>
      </c>
      <c r="U68">
        <f t="shared" si="53"/>
        <v>7.3007855818080002E-8</v>
      </c>
      <c r="V68">
        <f t="shared" si="51"/>
        <v>3.0978176317841225E-6</v>
      </c>
      <c r="W68">
        <f t="shared" si="49"/>
        <v>6.0788619881126757E-5</v>
      </c>
      <c r="X68">
        <f t="shared" si="47"/>
        <v>7.3249611883435763E-4</v>
      </c>
      <c r="Y68">
        <f t="shared" si="45"/>
        <v>6.0731890823547191E-3</v>
      </c>
      <c r="Z68">
        <f t="shared" si="43"/>
        <v>3.6826697510776205E-2</v>
      </c>
      <c r="AA68">
        <f t="shared" si="42"/>
        <v>0.16971629815290423</v>
      </c>
      <c r="AB68">
        <f t="shared" si="44"/>
        <v>0.61115518222163001</v>
      </c>
      <c r="AC68">
        <f t="shared" si="46"/>
        <v>1.7604713326517776</v>
      </c>
      <c r="AD68">
        <f t="shared" si="48"/>
        <v>4.1520527546801507</v>
      </c>
      <c r="AE68">
        <f t="shared" si="50"/>
        <v>8.2270941929771215</v>
      </c>
      <c r="AF68">
        <f t="shared" si="52"/>
        <v>14.09999499384479</v>
      </c>
      <c r="AG68">
        <f t="shared" si="54"/>
        <v>21.557388437991271</v>
      </c>
      <c r="AH68">
        <f t="shared" si="56"/>
        <v>30.277579925587272</v>
      </c>
      <c r="AI68">
        <f t="shared" si="58"/>
        <v>40.035784535074519</v>
      </c>
      <c r="AJ68">
        <f t="shared" si="60"/>
        <v>50.756619369156638</v>
      </c>
      <c r="AK68">
        <f t="shared" si="62"/>
        <v>62.466517585339254</v>
      </c>
      <c r="AL68">
        <f t="shared" si="64"/>
        <v>75.239146081125</v>
      </c>
      <c r="AM68">
        <f t="shared" si="66"/>
        <v>89.167661751460187</v>
      </c>
      <c r="AN68">
        <f t="shared" si="68"/>
        <v>104.35623267894877</v>
      </c>
      <c r="AO68">
        <f t="shared" si="70"/>
        <v>120.9188119686263</v>
      </c>
      <c r="AP68">
        <f t="shared" ref="AP68:AP77" si="72">IF($E$6="American", MAX(MAX(IF($E$5="Call", AP39-$B$7, $B$7-AP39), 0), $B$14*($B$18*AQ69 + $B$19*AP69 + $B$20*AO69)), $B$14*($B$18*AQ69 + $B$19*AP69 + $B$20*AO69))</f>
        <v>138.9796948718506</v>
      </c>
    </row>
    <row r="69" spans="1:52" x14ac:dyDescent="0.3">
      <c r="A69">
        <v>16</v>
      </c>
      <c r="K69">
        <f t="shared" ref="K69:K77" si="73">IF($E$6="American", MAX(MAX(IF($E$5="Call", K40-$B$7, $B$7-K40), 0), $B$14*($B$18*L70 + $B$19*K70 + $B$20*J70)), $B$14*($B$18*L70 + $B$19*K70 + $B$20*J70))</f>
        <v>0</v>
      </c>
      <c r="L69">
        <f t="shared" si="71"/>
        <v>0</v>
      </c>
      <c r="M69">
        <f t="shared" si="69"/>
        <v>0</v>
      </c>
      <c r="N69">
        <f t="shared" si="67"/>
        <v>0</v>
      </c>
      <c r="O69">
        <f t="shared" si="65"/>
        <v>0</v>
      </c>
      <c r="P69">
        <f t="shared" si="63"/>
        <v>0</v>
      </c>
      <c r="Q69">
        <f t="shared" si="61"/>
        <v>0</v>
      </c>
      <c r="R69">
        <f t="shared" si="59"/>
        <v>0</v>
      </c>
      <c r="S69">
        <f t="shared" si="57"/>
        <v>0</v>
      </c>
      <c r="T69">
        <f t="shared" si="55"/>
        <v>0</v>
      </c>
      <c r="U69">
        <f t="shared" si="53"/>
        <v>0</v>
      </c>
      <c r="V69">
        <f t="shared" si="51"/>
        <v>4.3349275103726069E-7</v>
      </c>
      <c r="W69">
        <f t="shared" si="49"/>
        <v>1.6680457836489796E-5</v>
      </c>
      <c r="X69">
        <f t="shared" si="47"/>
        <v>2.9459392731858076E-4</v>
      </c>
      <c r="Y69">
        <f t="shared" si="45"/>
        <v>3.1687414289541258E-3</v>
      </c>
      <c r="Z69">
        <f t="shared" si="43"/>
        <v>2.3249609362011814E-2</v>
      </c>
      <c r="AA69">
        <f t="shared" si="42"/>
        <v>0.12368563577446093</v>
      </c>
      <c r="AB69">
        <f t="shared" si="44"/>
        <v>0.49620197435633356</v>
      </c>
      <c r="AC69">
        <f t="shared" si="46"/>
        <v>1.5470519466775425</v>
      </c>
      <c r="AD69">
        <f t="shared" si="48"/>
        <v>3.8546137089716064</v>
      </c>
      <c r="AE69">
        <f t="shared" si="50"/>
        <v>7.9095600457030653</v>
      </c>
      <c r="AF69">
        <f t="shared" si="52"/>
        <v>13.827835697728673</v>
      </c>
      <c r="AG69">
        <f t="shared" si="54"/>
        <v>21.351559837961485</v>
      </c>
      <c r="AH69">
        <f t="shared" si="56"/>
        <v>30.119842076814614</v>
      </c>
      <c r="AI69">
        <f t="shared" si="58"/>
        <v>39.900554226497967</v>
      </c>
      <c r="AJ69">
        <f t="shared" si="60"/>
        <v>50.62864339683447</v>
      </c>
      <c r="AK69">
        <f t="shared" si="62"/>
        <v>62.340176010637606</v>
      </c>
      <c r="AL69">
        <f t="shared" si="64"/>
        <v>75.113058879028699</v>
      </c>
      <c r="AM69">
        <f t="shared" si="66"/>
        <v>89.041601330304061</v>
      </c>
      <c r="AN69">
        <f t="shared" si="68"/>
        <v>104.23017476574957</v>
      </c>
      <c r="AO69">
        <f t="shared" si="70"/>
        <v>120.79275511669064</v>
      </c>
      <c r="AP69">
        <f t="shared" si="72"/>
        <v>138.85363913020905</v>
      </c>
      <c r="AQ69">
        <f t="shared" ref="AQ69:AQ77" si="74">IF($E$6="American", MAX(MAX(IF($E$5="Call", AQ40-$B$7, $B$7-AQ40), 0), $B$14*($B$18*AR70 + $B$19*AQ70 + $B$20*AP70)), $B$14*($B$18*AR70 + $B$19*AQ70 + $B$20*AP70))</f>
        <v>158.54836811796793</v>
      </c>
    </row>
    <row r="70" spans="1:52" x14ac:dyDescent="0.3">
      <c r="A70">
        <v>17</v>
      </c>
      <c r="J70">
        <f t="shared" ref="J70:J77" si="75">IF($E$6="American", MAX(MAX(IF($E$5="Call", J41-$B$7, $B$7-J41), 0), $B$14*($B$18*K71 + $B$19*J71 + $B$20*I71)), $B$14*($B$18*K71 + $B$19*J71 + $B$20*I71))</f>
        <v>0</v>
      </c>
      <c r="K70">
        <f t="shared" si="73"/>
        <v>0</v>
      </c>
      <c r="L70">
        <f t="shared" si="71"/>
        <v>0</v>
      </c>
      <c r="M70">
        <f t="shared" si="69"/>
        <v>0</v>
      </c>
      <c r="N70">
        <f t="shared" si="67"/>
        <v>0</v>
      </c>
      <c r="O70">
        <f t="shared" si="65"/>
        <v>0</v>
      </c>
      <c r="P70">
        <f t="shared" si="63"/>
        <v>0</v>
      </c>
      <c r="Q70">
        <f t="shared" si="61"/>
        <v>0</v>
      </c>
      <c r="R70">
        <f t="shared" si="59"/>
        <v>0</v>
      </c>
      <c r="S70">
        <f t="shared" si="57"/>
        <v>0</v>
      </c>
      <c r="T70">
        <f t="shared" si="55"/>
        <v>0</v>
      </c>
      <c r="U70">
        <f t="shared" si="53"/>
        <v>0</v>
      </c>
      <c r="V70">
        <f t="shared" si="51"/>
        <v>0</v>
      </c>
      <c r="W70">
        <f t="shared" si="49"/>
        <v>2.5739143150580806E-6</v>
      </c>
      <c r="X70">
        <f t="shared" si="47"/>
        <v>8.8869860532279148E-5</v>
      </c>
      <c r="Y70">
        <f t="shared" si="45"/>
        <v>1.3954528137003876E-3</v>
      </c>
      <c r="Z70">
        <f t="shared" si="43"/>
        <v>1.3213089024219195E-2</v>
      </c>
      <c r="AA70">
        <f t="shared" si="42"/>
        <v>8.4466044762545878E-2</v>
      </c>
      <c r="AB70">
        <f t="shared" si="44"/>
        <v>0.38768465266874497</v>
      </c>
      <c r="AC70">
        <f t="shared" si="46"/>
        <v>1.3316532018602323</v>
      </c>
      <c r="AD70">
        <f t="shared" si="48"/>
        <v>3.5446022150484602</v>
      </c>
      <c r="AE70">
        <f t="shared" si="50"/>
        <v>7.5789101376645425</v>
      </c>
      <c r="AF70">
        <f t="shared" si="52"/>
        <v>13.551779486461131</v>
      </c>
      <c r="AG70">
        <f t="shared" si="54"/>
        <v>21.149307258950135</v>
      </c>
      <c r="AH70">
        <f t="shared" si="56"/>
        <v>29.966471977723799</v>
      </c>
      <c r="AI70">
        <f t="shared" si="58"/>
        <v>39.767505560955897</v>
      </c>
      <c r="AJ70">
        <f t="shared" si="60"/>
        <v>50.501212559711554</v>
      </c>
      <c r="AK70">
        <f t="shared" si="62"/>
        <v>62.213781955164997</v>
      </c>
      <c r="AL70">
        <f t="shared" si="64"/>
        <v>74.986788569247778</v>
      </c>
      <c r="AM70">
        <f t="shared" si="66"/>
        <v>88.915340392351837</v>
      </c>
      <c r="AN70">
        <f t="shared" si="68"/>
        <v>104.10391502357362</v>
      </c>
      <c r="AO70">
        <f t="shared" si="70"/>
        <v>120.66649639270057</v>
      </c>
      <c r="AP70">
        <f t="shared" si="72"/>
        <v>138.72738151651313</v>
      </c>
      <c r="AQ70">
        <f t="shared" si="74"/>
        <v>158.42211171500693</v>
      </c>
      <c r="AR70">
        <f t="shared" ref="AR70:AR77" si="76">IF($E$6="American", MAX(MAX(IF($E$5="Call", AR41-$B$7, $B$7-AR41), 0), $B$14*($B$18*AS71 + $B$19*AR71 + $B$20*AQ71)), $B$14*($B$18*AS71 + $B$19*AR71 + $B$20*AQ71))</f>
        <v>179.89848980680125</v>
      </c>
    </row>
    <row r="71" spans="1:52" x14ac:dyDescent="0.3">
      <c r="A71">
        <v>18</v>
      </c>
      <c r="I71">
        <f t="shared" ref="I71:I77" si="77">IF($E$6="American", MAX(MAX(IF($E$5="Call", I42-$B$7, $B$7-I42), 0), $B$14*($B$18*J72 + $B$19*I72 + $B$20*H72)), $B$14*($B$18*J72 + $B$19*I72 + $B$20*H72))</f>
        <v>0</v>
      </c>
      <c r="J71">
        <f t="shared" si="75"/>
        <v>0</v>
      </c>
      <c r="K71">
        <f t="shared" si="73"/>
        <v>0</v>
      </c>
      <c r="L71">
        <f t="shared" si="71"/>
        <v>0</v>
      </c>
      <c r="M71">
        <f t="shared" si="69"/>
        <v>0</v>
      </c>
      <c r="N71">
        <f t="shared" si="67"/>
        <v>0</v>
      </c>
      <c r="O71">
        <f t="shared" si="65"/>
        <v>0</v>
      </c>
      <c r="P71">
        <f t="shared" si="63"/>
        <v>0</v>
      </c>
      <c r="Q71">
        <f t="shared" si="61"/>
        <v>0</v>
      </c>
      <c r="R71">
        <f t="shared" si="59"/>
        <v>0</v>
      </c>
      <c r="S71">
        <f t="shared" si="57"/>
        <v>0</v>
      </c>
      <c r="T71">
        <f t="shared" si="55"/>
        <v>0</v>
      </c>
      <c r="U71">
        <f t="shared" si="53"/>
        <v>0</v>
      </c>
      <c r="V71">
        <f t="shared" si="51"/>
        <v>0</v>
      </c>
      <c r="W71">
        <f t="shared" si="49"/>
        <v>0</v>
      </c>
      <c r="X71">
        <f t="shared" si="47"/>
        <v>1.5282919692217541E-5</v>
      </c>
      <c r="Y71">
        <f t="shared" si="45"/>
        <v>4.6727589878565594E-4</v>
      </c>
      <c r="Z71">
        <f t="shared" si="43"/>
        <v>6.4240354422986515E-3</v>
      </c>
      <c r="AA71">
        <f t="shared" si="42"/>
        <v>5.2609868327361045E-2</v>
      </c>
      <c r="AB71">
        <f t="shared" si="44"/>
        <v>0.28733837750736768</v>
      </c>
      <c r="AC71">
        <f t="shared" si="46"/>
        <v>1.1149886313667177</v>
      </c>
      <c r="AD71">
        <f t="shared" si="48"/>
        <v>3.2198654107650371</v>
      </c>
      <c r="AE71">
        <f t="shared" si="50"/>
        <v>7.2330409914802889</v>
      </c>
      <c r="AF71">
        <f t="shared" si="52"/>
        <v>13.27236711780972</v>
      </c>
      <c r="AG71">
        <f t="shared" si="54"/>
        <v>20.952034713230862</v>
      </c>
      <c r="AH71">
        <f t="shared" si="56"/>
        <v>29.81792916722987</v>
      </c>
      <c r="AI71">
        <f t="shared" si="58"/>
        <v>39.636452355807741</v>
      </c>
      <c r="AJ71">
        <f t="shared" si="60"/>
        <v>50.374137623850409</v>
      </c>
      <c r="AK71">
        <f t="shared" si="62"/>
        <v>62.087270500000734</v>
      </c>
      <c r="AL71">
        <f t="shared" si="64"/>
        <v>74.860323247594081</v>
      </c>
      <c r="AM71">
        <f t="shared" si="66"/>
        <v>88.788877521148834</v>
      </c>
      <c r="AN71">
        <f t="shared" si="68"/>
        <v>103.97745308608935</v>
      </c>
      <c r="AO71">
        <f t="shared" si="70"/>
        <v>120.54003547340223</v>
      </c>
      <c r="AP71">
        <f t="shared" si="72"/>
        <v>138.60092170750906</v>
      </c>
      <c r="AQ71">
        <f t="shared" si="74"/>
        <v>158.29565311673787</v>
      </c>
      <c r="AR71">
        <f t="shared" si="76"/>
        <v>179.77203252879411</v>
      </c>
      <c r="AS71">
        <f t="shared" ref="AS71:AS77" si="78">IF($E$6="American", MAX(MAX(IF($E$5="Call", AS42-$B$7, $B$7-AS42), 0), $B$14*($B$18*AT72 + $B$19*AS72 + $B$20*AR72)), $B$14*($B$18*AT72 + $B$19*AS72 + $B$20*AR72))</f>
        <v>203.1912334849678</v>
      </c>
    </row>
    <row r="72" spans="1:52" x14ac:dyDescent="0.3">
      <c r="A72">
        <v>19</v>
      </c>
      <c r="H72">
        <f t="shared" ref="H72:H77" si="79">IF($E$6="American", MAX(MAX(IF($E$5="Call", H43-$B$7, $B$7-H43), 0), $B$14*($B$18*I73 + $B$19*H73 + $B$20*G73)), $B$14*($B$18*I73 + $B$19*H73 + $B$20*G73))</f>
        <v>0</v>
      </c>
      <c r="I72">
        <f t="shared" si="77"/>
        <v>0</v>
      </c>
      <c r="J72">
        <f t="shared" si="75"/>
        <v>0</v>
      </c>
      <c r="K72">
        <f t="shared" si="73"/>
        <v>0</v>
      </c>
      <c r="L72">
        <f t="shared" si="71"/>
        <v>0</v>
      </c>
      <c r="M72">
        <f t="shared" si="69"/>
        <v>0</v>
      </c>
      <c r="N72">
        <f t="shared" si="67"/>
        <v>0</v>
      </c>
      <c r="O72">
        <f t="shared" si="65"/>
        <v>0</v>
      </c>
      <c r="P72">
        <f t="shared" si="63"/>
        <v>0</v>
      </c>
      <c r="Q72">
        <f t="shared" si="61"/>
        <v>0</v>
      </c>
      <c r="R72">
        <f t="shared" si="59"/>
        <v>0</v>
      </c>
      <c r="S72">
        <f t="shared" si="57"/>
        <v>0</v>
      </c>
      <c r="T72">
        <f t="shared" si="55"/>
        <v>0</v>
      </c>
      <c r="U72">
        <f t="shared" si="53"/>
        <v>0</v>
      </c>
      <c r="V72">
        <f t="shared" si="51"/>
        <v>0</v>
      </c>
      <c r="W72">
        <f t="shared" si="49"/>
        <v>0</v>
      </c>
      <c r="X72">
        <f t="shared" si="47"/>
        <v>0</v>
      </c>
      <c r="Y72">
        <f t="shared" si="45"/>
        <v>9.0744137422267017E-5</v>
      </c>
      <c r="Z72">
        <f t="shared" si="43"/>
        <v>2.4158773263284589E-3</v>
      </c>
      <c r="AA72">
        <f t="shared" si="42"/>
        <v>2.8507148718695068E-2</v>
      </c>
      <c r="AB72">
        <f t="shared" si="44"/>
        <v>0.19735666531353568</v>
      </c>
      <c r="AC72">
        <f t="shared" si="46"/>
        <v>0.89831129659430453</v>
      </c>
      <c r="AD72">
        <f t="shared" si="48"/>
        <v>2.8775468164422784</v>
      </c>
      <c r="AE72">
        <f t="shared" si="50"/>
        <v>6.869235740396606</v>
      </c>
      <c r="AF72">
        <f t="shared" si="52"/>
        <v>12.990634274671166</v>
      </c>
      <c r="AG72">
        <f t="shared" si="54"/>
        <v>20.761511683904406</v>
      </c>
      <c r="AH72">
        <f t="shared" si="56"/>
        <v>29.674546118940928</v>
      </c>
      <c r="AI72">
        <f t="shared" si="58"/>
        <v>39.507082124653977</v>
      </c>
      <c r="AJ72">
        <f t="shared" si="60"/>
        <v>50.247223572099166</v>
      </c>
      <c r="AK72">
        <f t="shared" si="62"/>
        <v>61.960593770183955</v>
      </c>
      <c r="AL72">
        <f t="shared" si="64"/>
        <v>74.733657001052364</v>
      </c>
      <c r="AM72">
        <f t="shared" si="66"/>
        <v>88.66221213086601</v>
      </c>
      <c r="AN72">
        <f t="shared" si="68"/>
        <v>103.85078862952537</v>
      </c>
      <c r="AO72">
        <f t="shared" si="70"/>
        <v>120.4133720350242</v>
      </c>
      <c r="AP72">
        <f t="shared" si="72"/>
        <v>138.47425937942538</v>
      </c>
      <c r="AQ72">
        <f t="shared" si="74"/>
        <v>158.16899199938922</v>
      </c>
      <c r="AR72">
        <f t="shared" si="76"/>
        <v>179.64537273170751</v>
      </c>
      <c r="AS72">
        <f t="shared" si="78"/>
        <v>203.06457512757831</v>
      </c>
      <c r="AT72">
        <f t="shared" ref="AT72:AT77" si="80">IF($E$6="American", MAX(MAX(IF($E$5="Call", AT43-$B$7, $B$7-AT43), 0), $B$14*($B$18*AU73 + $B$19*AT73 + $B$20*AS73)), $B$14*($B$18*AU73 + $B$19*AT73 + $B$20*AS73))</f>
        <v>228.60235300992997</v>
      </c>
    </row>
    <row r="73" spans="1:52" x14ac:dyDescent="0.3">
      <c r="A73">
        <v>20</v>
      </c>
      <c r="G73">
        <f>IF($E$6="American", MAX(MAX(IF($E$5="Call", G44-$B$7, $B$7-G44), 0), $B$14*($B$18*H74 + $B$19*G74 + $B$20*F74)), $B$14*($B$18*H74 + $B$19*G74 + $B$20*F74))</f>
        <v>0</v>
      </c>
      <c r="H73">
        <f t="shared" si="79"/>
        <v>0</v>
      </c>
      <c r="I73">
        <f t="shared" si="77"/>
        <v>0</v>
      </c>
      <c r="J73">
        <f t="shared" si="75"/>
        <v>0</v>
      </c>
      <c r="K73">
        <f t="shared" si="73"/>
        <v>0</v>
      </c>
      <c r="L73">
        <f t="shared" si="71"/>
        <v>0</v>
      </c>
      <c r="M73">
        <f t="shared" si="69"/>
        <v>0</v>
      </c>
      <c r="N73">
        <f t="shared" si="67"/>
        <v>0</v>
      </c>
      <c r="O73">
        <f t="shared" si="65"/>
        <v>0</v>
      </c>
      <c r="P73">
        <f t="shared" si="63"/>
        <v>0</v>
      </c>
      <c r="Q73">
        <f t="shared" si="61"/>
        <v>0</v>
      </c>
      <c r="R73">
        <f t="shared" si="59"/>
        <v>0</v>
      </c>
      <c r="S73">
        <f t="shared" si="57"/>
        <v>0</v>
      </c>
      <c r="T73">
        <f t="shared" si="55"/>
        <v>0</v>
      </c>
      <c r="U73">
        <f t="shared" si="53"/>
        <v>0</v>
      </c>
      <c r="V73">
        <f t="shared" si="51"/>
        <v>0</v>
      </c>
      <c r="W73">
        <f t="shared" si="49"/>
        <v>0</v>
      </c>
      <c r="X73">
        <f t="shared" si="47"/>
        <v>0</v>
      </c>
      <c r="Y73">
        <f t="shared" si="45"/>
        <v>0</v>
      </c>
      <c r="Z73">
        <f t="shared" si="43"/>
        <v>5.3880401404611848E-4</v>
      </c>
      <c r="AA73">
        <f t="shared" si="42"/>
        <v>1.2215157968390173E-2</v>
      </c>
      <c r="AB73">
        <f t="shared" si="44"/>
        <v>0.12046333642155105</v>
      </c>
      <c r="AC73">
        <f t="shared" si="46"/>
        <v>0.68382479462670021</v>
      </c>
      <c r="AD73">
        <f t="shared" si="48"/>
        <v>2.5137192696929014</v>
      </c>
      <c r="AE73">
        <f t="shared" si="50"/>
        <v>6.4839033705738851</v>
      </c>
      <c r="AF73">
        <f t="shared" si="52"/>
        <v>12.708474301575558</v>
      </c>
      <c r="AG73">
        <f t="shared" si="54"/>
        <v>20.579909984021651</v>
      </c>
      <c r="AH73">
        <f t="shared" si="56"/>
        <v>29.536398177440372</v>
      </c>
      <c r="AI73">
        <f t="shared" si="58"/>
        <v>39.378951420404171</v>
      </c>
      <c r="AJ73">
        <f t="shared" si="60"/>
        <v>50.120293980104535</v>
      </c>
      <c r="AK73">
        <f t="shared" si="62"/>
        <v>61.833723895047477</v>
      </c>
      <c r="AL73">
        <f t="shared" si="64"/>
        <v>74.606787911140898</v>
      </c>
      <c r="AM73">
        <f t="shared" si="66"/>
        <v>88.535343897213494</v>
      </c>
      <c r="AN73">
        <f t="shared" si="68"/>
        <v>103.72392132959172</v>
      </c>
      <c r="AO73">
        <f t="shared" si="70"/>
        <v>120.28650575327661</v>
      </c>
      <c r="AP73">
        <f t="shared" si="72"/>
        <v>138.34739420797214</v>
      </c>
      <c r="AQ73">
        <f t="shared" si="74"/>
        <v>158.04212803867117</v>
      </c>
      <c r="AR73">
        <f t="shared" si="76"/>
        <v>179.51851009125156</v>
      </c>
      <c r="AS73">
        <f t="shared" si="78"/>
        <v>202.93771392681955</v>
      </c>
      <c r="AT73">
        <f t="shared" si="80"/>
        <v>228.475493379108</v>
      </c>
      <c r="AU73">
        <f>IF($E$6="American", MAX(MAX(IF($E$5="Call", AU44-$B$7, $B$7-AU44), 0), $B$14*($B$18*AV74 + $B$19*AU74 + $B$20*AT74)), $B$14*($B$18*AV74 + $B$19*AU74 + $B$20*AT74))</f>
        <v>256.32350153228134</v>
      </c>
    </row>
    <row r="74" spans="1:52" x14ac:dyDescent="0.3">
      <c r="A74">
        <v>21</v>
      </c>
      <c r="F74">
        <f>IF($E$6="American", MAX(MAX(IF($E$5="Call", F45-$B$7, $B$7-F45), 0), $B$14*($B$18*G75 + $B$19*F75 + $B$20*E75)), $B$14*($B$18*G75 + $B$19*F75 + $B$20*E75))</f>
        <v>0</v>
      </c>
      <c r="G74">
        <f>IF($E$6="American", MAX(MAX(IF($E$5="Call", G45-$B$7, $B$7-G45), 0), $B$14*($B$18*H75 + $B$19*G75 + $B$20*F75)), $B$14*($B$18*H75 + $B$19*G75 + $B$20*F75))</f>
        <v>0</v>
      </c>
      <c r="H74">
        <f t="shared" si="79"/>
        <v>0</v>
      </c>
      <c r="I74">
        <f t="shared" si="77"/>
        <v>0</v>
      </c>
      <c r="J74">
        <f t="shared" si="75"/>
        <v>0</v>
      </c>
      <c r="K74">
        <f t="shared" si="73"/>
        <v>0</v>
      </c>
      <c r="L74">
        <f t="shared" si="71"/>
        <v>0</v>
      </c>
      <c r="M74">
        <f t="shared" si="69"/>
        <v>0</v>
      </c>
      <c r="N74">
        <f t="shared" si="67"/>
        <v>0</v>
      </c>
      <c r="O74">
        <f t="shared" si="65"/>
        <v>0</v>
      </c>
      <c r="P74">
        <f t="shared" si="63"/>
        <v>0</v>
      </c>
      <c r="Q74">
        <f t="shared" si="61"/>
        <v>0</v>
      </c>
      <c r="R74">
        <f t="shared" si="59"/>
        <v>0</v>
      </c>
      <c r="S74">
        <f t="shared" si="57"/>
        <v>0</v>
      </c>
      <c r="T74">
        <f t="shared" si="55"/>
        <v>0</v>
      </c>
      <c r="U74">
        <f t="shared" si="53"/>
        <v>0</v>
      </c>
      <c r="V74">
        <f t="shared" si="51"/>
        <v>0</v>
      </c>
      <c r="W74">
        <f t="shared" si="49"/>
        <v>0</v>
      </c>
      <c r="X74">
        <f t="shared" si="47"/>
        <v>0</v>
      </c>
      <c r="Y74">
        <f t="shared" si="45"/>
        <v>0</v>
      </c>
      <c r="Z74">
        <f t="shared" si="43"/>
        <v>0</v>
      </c>
      <c r="AA74">
        <f t="shared" si="42"/>
        <v>3.1992123546371702E-3</v>
      </c>
      <c r="AB74">
        <f t="shared" si="44"/>
        <v>5.9885386051846685E-2</v>
      </c>
      <c r="AC74">
        <f t="shared" si="46"/>
        <v>0.47547064878889456</v>
      </c>
      <c r="AD74">
        <f t="shared" si="48"/>
        <v>2.122739976443389</v>
      </c>
      <c r="AE74">
        <f t="shared" si="50"/>
        <v>6.0721795945042354</v>
      </c>
      <c r="AF74">
        <f t="shared" si="52"/>
        <v>12.429296803755074</v>
      </c>
      <c r="AG74">
        <f t="shared" si="54"/>
        <v>20.409744273021339</v>
      </c>
      <c r="AH74">
        <f t="shared" si="56"/>
        <v>29.403114677483764</v>
      </c>
      <c r="AI74">
        <f t="shared" si="58"/>
        <v>39.251518097772433</v>
      </c>
      <c r="AJ74">
        <f t="shared" si="60"/>
        <v>49.993220216705112</v>
      </c>
      <c r="AK74">
        <f t="shared" si="62"/>
        <v>61.706650851732029</v>
      </c>
      <c r="AL74">
        <f t="shared" si="64"/>
        <v>74.479715653050505</v>
      </c>
      <c r="AM74">
        <f t="shared" si="66"/>
        <v>88.408272495382121</v>
      </c>
      <c r="AN74">
        <f t="shared" si="68"/>
        <v>103.59685086147927</v>
      </c>
      <c r="AO74">
        <f t="shared" si="70"/>
        <v>120.15943630335026</v>
      </c>
      <c r="AP74">
        <f t="shared" si="72"/>
        <v>138.22032586834027</v>
      </c>
      <c r="AQ74">
        <f t="shared" si="74"/>
        <v>157.9150609097745</v>
      </c>
      <c r="AR74">
        <f t="shared" si="76"/>
        <v>179.39144428261707</v>
      </c>
      <c r="AS74">
        <f t="shared" si="78"/>
        <v>202.81064955788239</v>
      </c>
      <c r="AT74">
        <f t="shared" si="80"/>
        <v>228.34843058010773</v>
      </c>
      <c r="AU74">
        <f>IF($E$6="American", MAX(MAX(IF($E$5="Call", AU45-$B$7, $B$7-AU45), 0), $B$14*($B$18*AV75 + $B$19*AU75 + $B$20*AT75)), $B$14*($B$18*AV75 + $B$19*AU75 + $B$20*AT75))</f>
        <v>256.19644044523938</v>
      </c>
      <c r="AV74">
        <f>IF($E$6="American", MAX(MAX(IF($E$5="Call", AV45-$B$7, $B$7-AV45), 0), $B$14*($B$18*AW75 + $B$19*AV75 + $B$20*AU75)), $B$14*($B$18*AW75 + $B$19*AV75 + $B$20*AU75))</f>
        <v>286.56366979745087</v>
      </c>
    </row>
    <row r="75" spans="1:52" x14ac:dyDescent="0.3">
      <c r="A75">
        <v>22</v>
      </c>
      <c r="E75">
        <f>IF($E$6="American", MAX(MAX(IF($E$5="Call", E46-$B$7, $B$7-E46), 0), $B$14*($B$18*F76 + $B$19*E76 + $B$20*D76)), $B$14*($B$18*F76 + $B$19*E76 + $B$20*D76))</f>
        <v>0</v>
      </c>
      <c r="F75">
        <f>IF($E$6="American", MAX(MAX(IF($E$5="Call", F46-$B$7, $B$7-F46), 0), $B$14*($B$18*G76 + $B$19*F76 + $B$20*E76)), $B$14*($B$18*G76 + $B$19*F76 + $B$20*E76))</f>
        <v>0</v>
      </c>
      <c r="G75">
        <f>IF($E$6="American", MAX(MAX(IF($E$5="Call", G46-$B$7, $B$7-G46), 0), $B$14*($B$18*H76 + $B$19*G76 + $B$20*F76)), $B$14*($B$18*H76 + $B$19*G76 + $B$20*F76))</f>
        <v>0</v>
      </c>
      <c r="H75">
        <f t="shared" si="79"/>
        <v>0</v>
      </c>
      <c r="I75">
        <f t="shared" si="77"/>
        <v>0</v>
      </c>
      <c r="J75">
        <f t="shared" si="75"/>
        <v>0</v>
      </c>
      <c r="K75">
        <f t="shared" si="73"/>
        <v>0</v>
      </c>
      <c r="L75">
        <f t="shared" si="71"/>
        <v>0</v>
      </c>
      <c r="M75">
        <f t="shared" si="69"/>
        <v>0</v>
      </c>
      <c r="N75">
        <f t="shared" si="67"/>
        <v>0</v>
      </c>
      <c r="O75">
        <f t="shared" si="65"/>
        <v>0</v>
      </c>
      <c r="P75">
        <f t="shared" si="63"/>
        <v>0</v>
      </c>
      <c r="Q75">
        <f t="shared" si="61"/>
        <v>0</v>
      </c>
      <c r="R75">
        <f t="shared" si="59"/>
        <v>0</v>
      </c>
      <c r="S75">
        <f t="shared" si="57"/>
        <v>0</v>
      </c>
      <c r="T75">
        <f t="shared" si="55"/>
        <v>0</v>
      </c>
      <c r="U75">
        <f t="shared" si="53"/>
        <v>0</v>
      </c>
      <c r="V75">
        <f t="shared" si="51"/>
        <v>0</v>
      </c>
      <c r="W75">
        <f t="shared" si="49"/>
        <v>0</v>
      </c>
      <c r="X75">
        <f t="shared" si="47"/>
        <v>0</v>
      </c>
      <c r="Y75">
        <f t="shared" si="45"/>
        <v>0</v>
      </c>
      <c r="Z75">
        <f t="shared" si="43"/>
        <v>0</v>
      </c>
      <c r="AA75">
        <f t="shared" si="42"/>
        <v>0</v>
      </c>
      <c r="AB75">
        <f t="shared" si="44"/>
        <v>1.8995700520499564E-2</v>
      </c>
      <c r="AC75">
        <f t="shared" si="46"/>
        <v>0.28050394451496929</v>
      </c>
      <c r="AD75">
        <f t="shared" si="48"/>
        <v>1.6960474145153372</v>
      </c>
      <c r="AE75">
        <f t="shared" si="50"/>
        <v>5.6273142415488486</v>
      </c>
      <c r="AF75">
        <f t="shared" si="52"/>
        <v>12.159253142130874</v>
      </c>
      <c r="AG75">
        <f t="shared" si="54"/>
        <v>20.253537240208782</v>
      </c>
      <c r="AH75">
        <f t="shared" si="56"/>
        <v>29.273652841903463</v>
      </c>
      <c r="AI75">
        <f t="shared" si="58"/>
        <v>39.124240180517781</v>
      </c>
      <c r="AJ75">
        <f t="shared" si="60"/>
        <v>49.865942959797401</v>
      </c>
      <c r="AK75">
        <f t="shared" si="62"/>
        <v>61.579374314908328</v>
      </c>
      <c r="AL75">
        <f t="shared" si="64"/>
        <v>74.352439901451916</v>
      </c>
      <c r="AM75">
        <f t="shared" si="66"/>
        <v>88.28099760004261</v>
      </c>
      <c r="AN75">
        <f t="shared" si="68"/>
        <v>103.46957689985872</v>
      </c>
      <c r="AO75">
        <f t="shared" si="70"/>
        <v>120.03216335991588</v>
      </c>
      <c r="AP75">
        <f t="shared" si="72"/>
        <v>138.09305403520042</v>
      </c>
      <c r="AQ75">
        <f t="shared" si="74"/>
        <v>157.78779028736997</v>
      </c>
      <c r="AR75">
        <f t="shared" si="76"/>
        <v>179.26417498047479</v>
      </c>
      <c r="AS75">
        <f t="shared" si="78"/>
        <v>202.6833816954375</v>
      </c>
      <c r="AT75">
        <f t="shared" si="80"/>
        <v>228.22116428759981</v>
      </c>
      <c r="AU75">
        <f>IF($E$6="American", MAX(MAX(IF($E$5="Call", AU46-$B$7, $B$7-AU46), 0), $B$14*($B$18*AV76 + $B$19*AU76 + $B$20*AT76)), $B$14*($B$18*AV76 + $B$19*AU76 + $B$20*AT76))</f>
        <v>256.06917586468995</v>
      </c>
      <c r="AV75">
        <f>IF($E$6="American", MAX(MAX(IF($E$5="Call", AV46-$B$7, $B$7-AV46), 0), $B$14*($B$18*AW76 + $B$19*AV76 + $B$20*AU76)), $B$14*($B$18*AW76 + $B$19*AV76 + $B$20*AU76))</f>
        <v>286.43640708372914</v>
      </c>
      <c r="AW75">
        <f>IF($E$6="American", MAX(MAX(IF($E$5="Call", AW46-$B$7, $B$7-AW46), 0), $B$14*($B$18*AX76 + $B$19*AW76 + $B$20*AV76)), $B$14*($B$18*AX76 + $B$19*AW76 + $B$20*AV76))</f>
        <v>319.55075456084779</v>
      </c>
    </row>
    <row r="76" spans="1:52" x14ac:dyDescent="0.3">
      <c r="A76">
        <v>23</v>
      </c>
      <c r="D76">
        <f>IF($E$6="American", MAX(MAX(IF($E$5="Call", D47-$B$7, $B$7-D47), 0), $B$14*($B$18*E77 + $B$19*D77 + $B$20*C77)), $B$14*($B$18*E77 + $B$19*D77 + $B$20*C77))</f>
        <v>0</v>
      </c>
      <c r="E76">
        <f>IF($E$6="American", MAX(MAX(IF($E$5="Call", E47-$B$7, $B$7-E47), 0), $B$14*($B$18*F77 + $B$19*E77 + $B$20*D77)), $B$14*($B$18*F77 + $B$19*E77 + $B$20*D77))</f>
        <v>0</v>
      </c>
      <c r="F76">
        <f>IF($E$6="American", MAX(MAX(IF($E$5="Call", F47-$B$7, $B$7-F47), 0), $B$14*($B$18*G77 + $B$19*F77 + $B$20*E77)), $B$14*($B$18*G77 + $B$19*F77 + $B$20*E77))</f>
        <v>0</v>
      </c>
      <c r="G76">
        <f>IF($E$6="American", MAX(MAX(IF($E$5="Call", G47-$B$7, $B$7-G47), 0), $B$14*($B$18*H77 + $B$19*G77 + $B$20*F77)), $B$14*($B$18*H77 + $B$19*G77 + $B$20*F77))</f>
        <v>0</v>
      </c>
      <c r="H76">
        <f t="shared" si="79"/>
        <v>0</v>
      </c>
      <c r="I76">
        <f t="shared" si="77"/>
        <v>0</v>
      </c>
      <c r="J76">
        <f t="shared" si="75"/>
        <v>0</v>
      </c>
      <c r="K76">
        <f t="shared" si="73"/>
        <v>0</v>
      </c>
      <c r="L76">
        <f t="shared" si="71"/>
        <v>0</v>
      </c>
      <c r="M76">
        <f t="shared" si="69"/>
        <v>0</v>
      </c>
      <c r="N76">
        <f t="shared" si="67"/>
        <v>0</v>
      </c>
      <c r="O76">
        <f t="shared" si="65"/>
        <v>0</v>
      </c>
      <c r="P76">
        <f t="shared" si="63"/>
        <v>0</v>
      </c>
      <c r="Q76">
        <f t="shared" si="61"/>
        <v>0</v>
      </c>
      <c r="R76">
        <f t="shared" si="59"/>
        <v>0</v>
      </c>
      <c r="S76">
        <f t="shared" si="57"/>
        <v>0</v>
      </c>
      <c r="T76">
        <f t="shared" si="55"/>
        <v>0</v>
      </c>
      <c r="U76">
        <f t="shared" si="53"/>
        <v>0</v>
      </c>
      <c r="V76">
        <f t="shared" si="51"/>
        <v>0</v>
      </c>
      <c r="W76">
        <f t="shared" si="49"/>
        <v>0</v>
      </c>
      <c r="X76">
        <f t="shared" si="47"/>
        <v>0</v>
      </c>
      <c r="Y76">
        <f t="shared" si="45"/>
        <v>0</v>
      </c>
      <c r="Z76">
        <f t="shared" si="43"/>
        <v>0</v>
      </c>
      <c r="AA76">
        <f t="shared" si="42"/>
        <v>0</v>
      </c>
      <c r="AB76">
        <f t="shared" si="44"/>
        <v>0</v>
      </c>
      <c r="AC76">
        <f t="shared" si="46"/>
        <v>0.11278921130117689</v>
      </c>
      <c r="AD76">
        <f t="shared" si="48"/>
        <v>1.2197728552591345</v>
      </c>
      <c r="AE76">
        <f t="shared" si="50"/>
        <v>5.139750278692838</v>
      </c>
      <c r="AF76">
        <f t="shared" si="52"/>
        <v>11.909570033960728</v>
      </c>
      <c r="AG76">
        <f t="shared" si="54"/>
        <v>20.11277245523393</v>
      </c>
      <c r="AH76">
        <f t="shared" si="56"/>
        <v>29.146170499724668</v>
      </c>
      <c r="AI76">
        <f t="shared" si="58"/>
        <v>38.996758443904568</v>
      </c>
      <c r="AJ76">
        <f t="shared" si="60"/>
        <v>49.738461883531173</v>
      </c>
      <c r="AK76">
        <f t="shared" si="62"/>
        <v>61.45189395872616</v>
      </c>
      <c r="AL76">
        <f t="shared" si="64"/>
        <v>74.224960330494909</v>
      </c>
      <c r="AM76">
        <f t="shared" si="66"/>
        <v>88.15351888534471</v>
      </c>
      <c r="AN76">
        <f t="shared" si="68"/>
        <v>103.34209911887986</v>
      </c>
      <c r="AO76">
        <f t="shared" si="70"/>
        <v>119.90468659712329</v>
      </c>
      <c r="AP76">
        <f t="shared" si="72"/>
        <v>137.9655783827024</v>
      </c>
      <c r="AQ76">
        <f t="shared" si="74"/>
        <v>157.6603158456073</v>
      </c>
      <c r="AR76">
        <f t="shared" si="76"/>
        <v>179.1367018589745</v>
      </c>
      <c r="AS76">
        <f t="shared" si="78"/>
        <v>202.55591001363467</v>
      </c>
      <c r="AT76">
        <f t="shared" si="80"/>
        <v>228.09369417573404</v>
      </c>
      <c r="AU76">
        <f>IF($E$6="American", MAX(MAX(IF($E$5="Call", AU47-$B$7, $B$7-AU47), 0), $B$14*($B$18*AV77 + $B$19*AU77 + $B$20*AT77)), $B$14*($B$18*AV77 + $B$19*AU77 + $B$20*AT77))</f>
        <v>255.94170746478275</v>
      </c>
      <c r="AV76">
        <f>IF($E$6="American", MAX(MAX(IF($E$5="Call", AV47-$B$7, $B$7-AV47), 0), $B$14*($B$18*AW77 + $B$19*AV77 + $B$20*AU77)), $B$14*($B$18*AW77 + $B$19*AV77 + $B$20*AU77))</f>
        <v>286.30894055064977</v>
      </c>
      <c r="AW76">
        <f>IF($E$6="American", MAX(MAX(IF($E$5="Call", AW47-$B$7, $B$7-AW47), 0), $B$14*($B$18*AX77 + $B$19*AW77 + $B$20*AV77)), $B$14*($B$18*AX77 + $B$19*AW77 + $B$20*AV77))</f>
        <v>319.42329006347535</v>
      </c>
      <c r="AX76">
        <f>IF($E$6="American", MAX(MAX(IF($E$5="Call", AX47-$B$7, $B$7-AX47), 0), $B$14*($B$18*AY77 + $B$19*AX77 + $B$20*AW77)), $B$14*($B$18*AY77 + $B$19*AX77 + $B$20*AW77))</f>
        <v>355.53326888693033</v>
      </c>
    </row>
    <row r="77" spans="1:52" x14ac:dyDescent="0.3">
      <c r="A77">
        <v>24</v>
      </c>
      <c r="C77">
        <f>IF($E$6="American", MAX(MAX(IF($E$5="Call", C48-$B$7, $B$7-C48), 0), $B$14*($B$18*D78 + $B$19*C78 + $B$20*B78)), $B$14*($B$18*D78 + $B$19*C78 + $B$20*B78))</f>
        <v>0</v>
      </c>
      <c r="D77">
        <f>IF($E$6="American", MAX(MAX(IF($E$5="Call", D48-$B$7, $B$7-D48), 0), $B$14*($B$18*E78 + $B$19*D78 + $B$20*C78)), $B$14*($B$18*E78 + $B$19*D78 + $B$20*C78))</f>
        <v>0</v>
      </c>
      <c r="E77">
        <f>IF($E$6="American", MAX(MAX(IF($E$5="Call", E48-$B$7, $B$7-E48), 0), $B$14*($B$18*F78 + $B$19*E78 + $B$20*D78)), $B$14*($B$18*F78 + $B$19*E78 + $B$20*D78))</f>
        <v>0</v>
      </c>
      <c r="F77">
        <f>IF($E$6="American", MAX(MAX(IF($E$5="Call", F48-$B$7, $B$7-F48), 0), $B$14*($B$18*G78 + $B$19*F78 + $B$20*E78)), $B$14*($B$18*G78 + $B$19*F78 + $B$20*E78))</f>
        <v>0</v>
      </c>
      <c r="G77">
        <f>IF($E$6="American", MAX(MAX(IF($E$5="Call", G48-$B$7, $B$7-G48), 0), $B$14*($B$18*H78 + $B$19*G78 + $B$20*F78)), $B$14*($B$18*H78 + $B$19*G78 + $B$20*F78))</f>
        <v>0</v>
      </c>
      <c r="H77">
        <f t="shared" si="79"/>
        <v>0</v>
      </c>
      <c r="I77">
        <f t="shared" si="77"/>
        <v>0</v>
      </c>
      <c r="J77">
        <f t="shared" si="75"/>
        <v>0</v>
      </c>
      <c r="K77">
        <f t="shared" si="73"/>
        <v>0</v>
      </c>
      <c r="L77">
        <f t="shared" si="71"/>
        <v>0</v>
      </c>
      <c r="M77">
        <f t="shared" si="69"/>
        <v>0</v>
      </c>
      <c r="N77">
        <f t="shared" si="67"/>
        <v>0</v>
      </c>
      <c r="O77">
        <f t="shared" si="65"/>
        <v>0</v>
      </c>
      <c r="P77">
        <f t="shared" si="63"/>
        <v>0</v>
      </c>
      <c r="Q77">
        <f t="shared" si="61"/>
        <v>0</v>
      </c>
      <c r="R77">
        <f t="shared" si="59"/>
        <v>0</v>
      </c>
      <c r="S77">
        <f t="shared" si="57"/>
        <v>0</v>
      </c>
      <c r="T77">
        <f t="shared" si="55"/>
        <v>0</v>
      </c>
      <c r="U77">
        <f t="shared" si="53"/>
        <v>0</v>
      </c>
      <c r="V77">
        <f t="shared" si="51"/>
        <v>0</v>
      </c>
      <c r="W77">
        <f t="shared" si="49"/>
        <v>0</v>
      </c>
      <c r="X77">
        <f t="shared" si="47"/>
        <v>0</v>
      </c>
      <c r="Y77">
        <f t="shared" si="45"/>
        <v>0</v>
      </c>
      <c r="Z77">
        <f t="shared" si="43"/>
        <v>0</v>
      </c>
      <c r="AA77">
        <f t="shared" si="42"/>
        <v>0</v>
      </c>
      <c r="AB77">
        <f t="shared" si="44"/>
        <v>0</v>
      </c>
      <c r="AC77">
        <f t="shared" si="46"/>
        <v>0</v>
      </c>
      <c r="AD77">
        <f t="shared" si="48"/>
        <v>0.66969923916272456</v>
      </c>
      <c r="AE77">
        <f t="shared" si="50"/>
        <v>4.5958377952155036</v>
      </c>
      <c r="AF77">
        <f t="shared" si="52"/>
        <v>11.701083917960126</v>
      </c>
      <c r="AG77">
        <f t="shared" si="54"/>
        <v>19.985085411995719</v>
      </c>
      <c r="AH77">
        <f t="shared" si="56"/>
        <v>29.018484011815271</v>
      </c>
      <c r="AI77">
        <f t="shared" si="58"/>
        <v>38.869072561560799</v>
      </c>
      <c r="AJ77">
        <f t="shared" si="60"/>
        <v>49.610776661534416</v>
      </c>
      <c r="AK77">
        <f t="shared" si="62"/>
        <v>61.32420945681352</v>
      </c>
      <c r="AL77">
        <f t="shared" si="64"/>
        <v>74.097276613807466</v>
      </c>
      <c r="AM77">
        <f t="shared" si="66"/>
        <v>88.02583602491643</v>
      </c>
      <c r="AN77">
        <f t="shared" si="68"/>
        <v>103.21441719217069</v>
      </c>
      <c r="AO77">
        <f t="shared" si="70"/>
        <v>119.7770056886004</v>
      </c>
      <c r="AP77">
        <f t="shared" si="72"/>
        <v>137.8378985844742</v>
      </c>
      <c r="AQ77">
        <f t="shared" si="74"/>
        <v>157.53263725811453</v>
      </c>
      <c r="AR77">
        <f t="shared" si="76"/>
        <v>179.00902459174415</v>
      </c>
      <c r="AS77">
        <f t="shared" si="78"/>
        <v>202.42823418610189</v>
      </c>
      <c r="AT77">
        <f t="shared" si="80"/>
        <v>227.96601991813844</v>
      </c>
      <c r="AU77">
        <f>IF($E$6="American", MAX(MAX(IF($E$5="Call", AU48-$B$7, $B$7-AU48), 0), $B$14*($B$18*AV78 + $B$19*AU78 + $B$20*AT78)), $B$14*($B$18*AV78 + $B$19*AU78 + $B$20*AT78))</f>
        <v>255.81403491914588</v>
      </c>
      <c r="AV77">
        <f>IF($E$6="American", MAX(MAX(IF($E$5="Call", AV48-$B$7, $B$7-AV48), 0), $B$14*($B$18*AW78 + $B$19*AV78 + $B$20*AU78)), $B$14*($B$18*AW78 + $B$19*AV78 + $B$20*AU78))</f>
        <v>286.18126987184075</v>
      </c>
      <c r="AW77">
        <f>IF($E$6="American", MAX(MAX(IF($E$5="Call", AW48-$B$7, $B$7-AW48), 0), $B$14*($B$18*AX78 + $B$19*AW78 + $B$20*AV78)), $B$14*($B$18*AX78 + $B$19*AW78 + $B$20*AV78))</f>
        <v>319.29562142037344</v>
      </c>
      <c r="AX77">
        <f>IF($E$6="American", MAX(MAX(IF($E$5="Call", AX48-$B$7, $B$7-AX48), 0), $B$14*($B$18*AY78 + $B$19*AX78 + $B$20*AW78)), $B$14*($B$18*AY78 + $B$19*AX78 + $B$20*AW78))</f>
        <v>355.40560246369205</v>
      </c>
      <c r="AY77">
        <f>IF($E$6="American", MAX(MAX(IF($E$5="Call", AY48-$B$7, $B$7-AY48), 0), $B$14*($B$18*AZ78 + $B$19*AY78 + $B$20*AX78)), $B$14*($B$18*AZ78 + $B$19*AY78 + $B$20*AX78))</f>
        <v>394.78220716747956</v>
      </c>
    </row>
    <row r="78" spans="1:52" x14ac:dyDescent="0.3">
      <c r="A78">
        <v>25</v>
      </c>
      <c r="B78">
        <f t="shared" ref="B78:AG78" si="81">MAX(IF($E$5="Call", B49-$B$7, $B$7-B49), 0)</f>
        <v>0</v>
      </c>
      <c r="C78">
        <f t="shared" si="81"/>
        <v>0</v>
      </c>
      <c r="D78">
        <f t="shared" si="81"/>
        <v>0</v>
      </c>
      <c r="E78">
        <f t="shared" si="81"/>
        <v>0</v>
      </c>
      <c r="F78">
        <f t="shared" si="81"/>
        <v>0</v>
      </c>
      <c r="G78">
        <f t="shared" si="81"/>
        <v>0</v>
      </c>
      <c r="H78">
        <f t="shared" si="81"/>
        <v>0</v>
      </c>
      <c r="I78">
        <f t="shared" si="81"/>
        <v>0</v>
      </c>
      <c r="J78">
        <f t="shared" si="81"/>
        <v>0</v>
      </c>
      <c r="K78">
        <f t="shared" si="81"/>
        <v>0</v>
      </c>
      <c r="L78">
        <f t="shared" si="81"/>
        <v>0</v>
      </c>
      <c r="M78">
        <f t="shared" si="81"/>
        <v>0</v>
      </c>
      <c r="N78">
        <f t="shared" si="81"/>
        <v>0</v>
      </c>
      <c r="O78">
        <f t="shared" si="81"/>
        <v>0</v>
      </c>
      <c r="P78">
        <f t="shared" si="81"/>
        <v>0</v>
      </c>
      <c r="Q78">
        <f t="shared" si="81"/>
        <v>0</v>
      </c>
      <c r="R78">
        <f t="shared" si="81"/>
        <v>0</v>
      </c>
      <c r="S78">
        <f t="shared" si="81"/>
        <v>0</v>
      </c>
      <c r="T78">
        <f t="shared" si="81"/>
        <v>0</v>
      </c>
      <c r="U78">
        <f t="shared" si="81"/>
        <v>0</v>
      </c>
      <c r="V78">
        <f t="shared" si="81"/>
        <v>0</v>
      </c>
      <c r="W78">
        <f t="shared" si="81"/>
        <v>0</v>
      </c>
      <c r="X78">
        <f t="shared" si="81"/>
        <v>0</v>
      </c>
      <c r="Y78">
        <f t="shared" si="81"/>
        <v>0</v>
      </c>
      <c r="Z78">
        <f t="shared" si="81"/>
        <v>0</v>
      </c>
      <c r="AA78">
        <f t="shared" si="81"/>
        <v>0</v>
      </c>
      <c r="AB78">
        <f t="shared" si="81"/>
        <v>0</v>
      </c>
      <c r="AC78">
        <f t="shared" si="81"/>
        <v>0</v>
      </c>
      <c r="AD78">
        <f t="shared" si="81"/>
        <v>0</v>
      </c>
      <c r="AE78">
        <f t="shared" si="81"/>
        <v>3.9764181854018545</v>
      </c>
      <c r="AF78">
        <f t="shared" si="81"/>
        <v>11.573191892837059</v>
      </c>
      <c r="AG78">
        <f t="shared" si="81"/>
        <v>19.857193896132259</v>
      </c>
      <c r="AH78">
        <f t="shared" ref="AH78:AZ78" si="82">MAX(IF($E$5="Call", AH49-$B$7, $B$7-AH49), 0)</f>
        <v>28.890593051280661</v>
      </c>
      <c r="AI78">
        <f t="shared" si="82"/>
        <v>38.741182206591859</v>
      </c>
      <c r="AJ78">
        <f t="shared" si="82"/>
        <v>49.482886966912531</v>
      </c>
      <c r="AK78">
        <f t="shared" si="82"/>
        <v>61.19632048227578</v>
      </c>
      <c r="AL78">
        <f t="shared" si="82"/>
        <v>73.96938842449498</v>
      </c>
      <c r="AM78">
        <f t="shared" si="82"/>
        <v>87.897948691863178</v>
      </c>
      <c r="AN78">
        <f t="shared" si="82"/>
        <v>103.08653079283658</v>
      </c>
      <c r="AO78">
        <f t="shared" si="82"/>
        <v>119.64912030745265</v>
      </c>
      <c r="AP78">
        <f t="shared" si="82"/>
        <v>137.71001431362117</v>
      </c>
      <c r="AQ78">
        <f t="shared" si="82"/>
        <v>157.40475419799705</v>
      </c>
      <c r="AR78">
        <f t="shared" si="82"/>
        <v>178.88114285188914</v>
      </c>
      <c r="AS78">
        <f t="shared" si="82"/>
        <v>202.30035388594456</v>
      </c>
      <c r="AT78">
        <f t="shared" si="82"/>
        <v>227.83814118791838</v>
      </c>
      <c r="AU78">
        <f t="shared" si="82"/>
        <v>255.68615790088461</v>
      </c>
      <c r="AV78">
        <f t="shared" si="82"/>
        <v>286.05339472040748</v>
      </c>
      <c r="AW78">
        <f t="shared" si="82"/>
        <v>319.16774830464749</v>
      </c>
      <c r="AX78">
        <f t="shared" si="82"/>
        <v>355.27773156782979</v>
      </c>
      <c r="AY78">
        <f t="shared" si="82"/>
        <v>394.65433869229702</v>
      </c>
      <c r="AZ78">
        <f t="shared" si="82"/>
        <v>437.59307885547912</v>
      </c>
    </row>
  </sheetData>
  <mergeCells count="2">
    <mergeCell ref="A3:N3"/>
    <mergeCell ref="A1:N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F17"/>
  <sheetViews>
    <sheetView showGridLines="0" workbookViewId="0">
      <selection sqref="A1:F1"/>
    </sheetView>
  </sheetViews>
  <sheetFormatPr baseColWidth="10" defaultColWidth="8.88671875" defaultRowHeight="14.4" x14ac:dyDescent="0.3"/>
  <cols>
    <col min="1" max="1" width="22" customWidth="1"/>
    <col min="2" max="2" width="14" customWidth="1"/>
    <col min="3" max="3" width="2" customWidth="1"/>
    <col min="4" max="5" width="16" customWidth="1"/>
    <col min="6" max="6" width="2" customWidth="1"/>
  </cols>
  <sheetData>
    <row r="1" spans="1:6" ht="18" x14ac:dyDescent="0.35">
      <c r="A1" s="34" t="s">
        <v>94</v>
      </c>
      <c r="B1" s="31"/>
      <c r="C1" s="31"/>
      <c r="D1" s="31"/>
      <c r="E1" s="31"/>
      <c r="F1" s="31"/>
    </row>
    <row r="3" spans="1:6" x14ac:dyDescent="0.3">
      <c r="A3" s="33" t="s">
        <v>95</v>
      </c>
      <c r="B3" s="31"/>
      <c r="C3" s="31"/>
      <c r="D3" s="31"/>
      <c r="E3" s="31"/>
      <c r="F3" s="31"/>
    </row>
    <row r="5" spans="1:6" x14ac:dyDescent="0.3">
      <c r="A5" s="2" t="s">
        <v>96</v>
      </c>
      <c r="B5" s="19">
        <f>Options_Black76!B12</f>
        <v>1.2133430208902642</v>
      </c>
      <c r="D5" s="2" t="s">
        <v>97</v>
      </c>
      <c r="E5" s="19">
        <f>IF(E11="Call", E15*(E6*E16-E9*E17), E15*(E9*(1-E17)-E6*(1-E16)))</f>
        <v>1.7594588845941277</v>
      </c>
    </row>
    <row r="6" spans="1:6" x14ac:dyDescent="0.3">
      <c r="D6" s="2" t="s">
        <v>98</v>
      </c>
      <c r="E6" s="11">
        <f>Options_Black76!B5*(1+$B$7)</f>
        <v>62.422668666929354</v>
      </c>
    </row>
    <row r="7" spans="1:6" x14ac:dyDescent="0.3">
      <c r="A7" s="2" t="s">
        <v>99</v>
      </c>
      <c r="B7" s="5">
        <v>0.02</v>
      </c>
      <c r="D7" s="2" t="s">
        <v>100</v>
      </c>
      <c r="E7" s="10">
        <f>Options_Black76!B8 + $B$8</f>
        <v>0.27</v>
      </c>
    </row>
    <row r="8" spans="1:6" x14ac:dyDescent="0.3">
      <c r="A8" s="2" t="s">
        <v>101</v>
      </c>
      <c r="B8" s="5">
        <v>0.02</v>
      </c>
      <c r="D8" s="2" t="s">
        <v>102</v>
      </c>
      <c r="E8" s="10">
        <f>Options_Black76!B7 + $B$9</f>
        <v>4.4999999999999998E-2</v>
      </c>
    </row>
    <row r="9" spans="1:6" x14ac:dyDescent="0.3">
      <c r="A9" s="2" t="s">
        <v>103</v>
      </c>
      <c r="B9" s="5">
        <v>5.0000000000000001E-3</v>
      </c>
      <c r="D9" s="2" t="s">
        <v>77</v>
      </c>
      <c r="E9" s="11">
        <f>Options_Black76!B6</f>
        <v>80</v>
      </c>
    </row>
    <row r="10" spans="1:6" x14ac:dyDescent="0.3">
      <c r="D10" s="2" t="s">
        <v>81</v>
      </c>
      <c r="E10" s="18">
        <f>Options_Black76!B9</f>
        <v>1</v>
      </c>
    </row>
    <row r="11" spans="1:6" x14ac:dyDescent="0.3">
      <c r="D11" s="2" t="s">
        <v>104</v>
      </c>
      <c r="E11" t="str">
        <f>Options_Black76!B10</f>
        <v>Call</v>
      </c>
    </row>
    <row r="12" spans="1:6" x14ac:dyDescent="0.3">
      <c r="A12" s="2" t="s">
        <v>105</v>
      </c>
      <c r="B12" s="24">
        <f>E5-B5</f>
        <v>0.54611586370386345</v>
      </c>
    </row>
    <row r="13" spans="1:6" x14ac:dyDescent="0.3">
      <c r="D13" s="2" t="s">
        <v>61</v>
      </c>
      <c r="E13">
        <f>(LN(E6/E9)+(0.5*E7^2)*E10)/(E7*SQRT(E10))</f>
        <v>-0.78388201981456695</v>
      </c>
    </row>
    <row r="14" spans="1:6" x14ac:dyDescent="0.3">
      <c r="D14" s="2" t="s">
        <v>62</v>
      </c>
      <c r="E14">
        <f>E13-E7*SQRT(E10)</f>
        <v>-1.0538820198145671</v>
      </c>
    </row>
    <row r="15" spans="1:6" x14ac:dyDescent="0.3">
      <c r="D15" s="2" t="s">
        <v>64</v>
      </c>
      <c r="E15" s="9">
        <f>EXP(-E8*E10)</f>
        <v>0.95599748183309996</v>
      </c>
    </row>
    <row r="16" spans="1:6" x14ac:dyDescent="0.3">
      <c r="D16" s="2" t="s">
        <v>66</v>
      </c>
      <c r="E16">
        <f>0.5*(1+ERF(E13/SQRT(2)))</f>
        <v>0.21655467047499066</v>
      </c>
    </row>
    <row r="17" spans="4:5" x14ac:dyDescent="0.3">
      <c r="D17" s="2" t="s">
        <v>68</v>
      </c>
      <c r="E17">
        <f>0.5*(1+ERF(E14/SQRT(2)))</f>
        <v>0.14596846789608797</v>
      </c>
    </row>
  </sheetData>
  <mergeCells count="2">
    <mergeCell ref="A3:F3"/>
    <mergeCell ref="A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H10"/>
  <sheetViews>
    <sheetView showGridLines="0" workbookViewId="0">
      <selection activeCell="O14" sqref="O14"/>
    </sheetView>
  </sheetViews>
  <sheetFormatPr baseColWidth="10" defaultColWidth="8.88671875" defaultRowHeight="14.4" x14ac:dyDescent="0.3"/>
  <cols>
    <col min="1" max="1" width="18" customWidth="1"/>
    <col min="2" max="2" width="16" customWidth="1"/>
    <col min="3" max="3" width="2" customWidth="1"/>
    <col min="4" max="8" width="14" customWidth="1"/>
  </cols>
  <sheetData>
    <row r="1" spans="1:8" ht="23.4" x14ac:dyDescent="0.45">
      <c r="A1" s="35" t="s">
        <v>106</v>
      </c>
      <c r="B1" s="31"/>
      <c r="C1" s="31"/>
      <c r="D1" s="31"/>
      <c r="E1" s="31"/>
      <c r="F1" s="31"/>
      <c r="G1" s="31"/>
      <c r="H1" s="31"/>
    </row>
    <row r="3" spans="1:8" ht="15.6" x14ac:dyDescent="0.3">
      <c r="A3" s="1" t="s">
        <v>107</v>
      </c>
      <c r="D3" s="1" t="s">
        <v>108</v>
      </c>
    </row>
    <row r="5" spans="1:8" x14ac:dyDescent="0.3">
      <c r="A5" s="2" t="s">
        <v>109</v>
      </c>
      <c r="B5" s="25">
        <f>Inputs!B6</f>
        <v>59.39</v>
      </c>
    </row>
    <row r="6" spans="1:8" x14ac:dyDescent="0.3">
      <c r="A6" s="2" t="s">
        <v>21</v>
      </c>
      <c r="B6" s="26">
        <f>Inputs!B17</f>
        <v>3.0000000000000002E-2</v>
      </c>
    </row>
    <row r="7" spans="1:8" x14ac:dyDescent="0.3">
      <c r="A7" s="2" t="s">
        <v>110</v>
      </c>
      <c r="B7" s="25">
        <f>Forwards!C10</f>
        <v>61.198694771499369</v>
      </c>
    </row>
    <row r="8" spans="1:8" x14ac:dyDescent="0.3">
      <c r="A8" s="2" t="s">
        <v>111</v>
      </c>
      <c r="B8" s="27">
        <f>Options_Black76!B12</f>
        <v>1.2133430208902642</v>
      </c>
    </row>
    <row r="9" spans="1:8" x14ac:dyDescent="0.3">
      <c r="A9" s="2" t="s">
        <v>112</v>
      </c>
      <c r="B9" s="27">
        <f>TrinomialTree!B21</f>
        <v>1.3360241348305477</v>
      </c>
    </row>
    <row r="10" spans="1:8" x14ac:dyDescent="0.3">
      <c r="A10" s="2" t="s">
        <v>113</v>
      </c>
      <c r="B10" s="27">
        <f>Scenario!B12</f>
        <v>0.54611586370386345</v>
      </c>
    </row>
  </sheetData>
  <mergeCells count="1">
    <mergeCell ref="A1:H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Data">
                <anchor moveWithCells="1" sizeWithCells="1">
                  <from>
                    <xdr:col>0</xdr:col>
                    <xdr:colOff>297180</xdr:colOff>
                    <xdr:row>11</xdr:row>
                    <xdr:rowOff>60960</xdr:rowOff>
                  </from>
                  <to>
                    <xdr:col>1</xdr:col>
                    <xdr:colOff>1051560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H124"/>
  <sheetViews>
    <sheetView showGridLines="0" tabSelected="1" workbookViewId="0">
      <selection activeCell="A117" sqref="A117"/>
    </sheetView>
  </sheetViews>
  <sheetFormatPr baseColWidth="10" defaultColWidth="8.88671875" defaultRowHeight="14.4" x14ac:dyDescent="0.3"/>
  <cols>
    <col min="1" max="1" width="110" customWidth="1"/>
  </cols>
  <sheetData>
    <row r="1" spans="1:8" ht="18" x14ac:dyDescent="0.35">
      <c r="A1" s="34" t="s">
        <v>114</v>
      </c>
      <c r="B1" s="31"/>
      <c r="C1" s="31"/>
      <c r="D1" s="31"/>
      <c r="E1" s="31"/>
      <c r="F1" s="31"/>
      <c r="G1" s="31"/>
      <c r="H1" s="31"/>
    </row>
    <row r="3" spans="1:8" x14ac:dyDescent="0.3">
      <c r="A3" s="33" t="s">
        <v>115</v>
      </c>
      <c r="B3" s="31"/>
      <c r="C3" s="31"/>
      <c r="D3" s="31"/>
      <c r="E3" s="31"/>
      <c r="F3" s="31"/>
      <c r="G3" s="31"/>
      <c r="H3" s="31"/>
    </row>
    <row r="5" spans="1:8" x14ac:dyDescent="0.3">
      <c r="A5" s="28" t="s">
        <v>123</v>
      </c>
    </row>
    <row r="6" spans="1:8" x14ac:dyDescent="0.3">
      <c r="A6" s="28"/>
    </row>
    <row r="7" spans="1:8" x14ac:dyDescent="0.3">
      <c r="A7" s="28" t="s">
        <v>124</v>
      </c>
    </row>
    <row r="8" spans="1:8" x14ac:dyDescent="0.3">
      <c r="A8" s="28" t="s">
        <v>125</v>
      </c>
    </row>
    <row r="9" spans="1:8" x14ac:dyDescent="0.3">
      <c r="A9" s="28" t="s">
        <v>124</v>
      </c>
    </row>
    <row r="10" spans="1:8" x14ac:dyDescent="0.3">
      <c r="A10" s="28" t="s">
        <v>126</v>
      </c>
    </row>
    <row r="11" spans="1:8" x14ac:dyDescent="0.3">
      <c r="A11" s="28" t="s">
        <v>127</v>
      </c>
    </row>
    <row r="12" spans="1:8" x14ac:dyDescent="0.3">
      <c r="A12" s="28" t="s">
        <v>128</v>
      </c>
    </row>
    <row r="13" spans="1:8" x14ac:dyDescent="0.3">
      <c r="A13" s="28" t="s">
        <v>129</v>
      </c>
    </row>
    <row r="14" spans="1:8" x14ac:dyDescent="0.3">
      <c r="A14" s="28" t="s">
        <v>130</v>
      </c>
    </row>
    <row r="15" spans="1:8" x14ac:dyDescent="0.3">
      <c r="A15" s="28" t="s">
        <v>131</v>
      </c>
    </row>
    <row r="16" spans="1:8" x14ac:dyDescent="0.3">
      <c r="A16" s="28" t="s">
        <v>132</v>
      </c>
    </row>
    <row r="17" spans="1:1" x14ac:dyDescent="0.3">
      <c r="A17" s="28" t="s">
        <v>129</v>
      </c>
    </row>
    <row r="18" spans="1:1" x14ac:dyDescent="0.3">
      <c r="A18" s="28" t="s">
        <v>133</v>
      </c>
    </row>
    <row r="19" spans="1:1" x14ac:dyDescent="0.3">
      <c r="A19" s="28" t="s">
        <v>134</v>
      </c>
    </row>
    <row r="20" spans="1:1" x14ac:dyDescent="0.3">
      <c r="A20" s="28" t="s">
        <v>116</v>
      </c>
    </row>
    <row r="21" spans="1:1" x14ac:dyDescent="0.3">
      <c r="A21" s="28"/>
    </row>
    <row r="22" spans="1:1" x14ac:dyDescent="0.3">
      <c r="A22" s="28" t="s">
        <v>124</v>
      </c>
    </row>
    <row r="23" spans="1:1" x14ac:dyDescent="0.3">
      <c r="A23" s="28" t="s">
        <v>135</v>
      </c>
    </row>
    <row r="24" spans="1:1" x14ac:dyDescent="0.3">
      <c r="A24" s="28" t="s">
        <v>136</v>
      </c>
    </row>
    <row r="25" spans="1:1" x14ac:dyDescent="0.3">
      <c r="A25" s="28" t="s">
        <v>124</v>
      </c>
    </row>
    <row r="26" spans="1:1" x14ac:dyDescent="0.3">
      <c r="A26" s="28" t="s">
        <v>137</v>
      </c>
    </row>
    <row r="27" spans="1:1" x14ac:dyDescent="0.3">
      <c r="A27" s="28" t="s">
        <v>138</v>
      </c>
    </row>
    <row r="28" spans="1:1" x14ac:dyDescent="0.3">
      <c r="A28" s="28" t="s">
        <v>139</v>
      </c>
    </row>
    <row r="29" spans="1:1" x14ac:dyDescent="0.3">
      <c r="A29" s="28" t="s">
        <v>140</v>
      </c>
    </row>
    <row r="30" spans="1:1" x14ac:dyDescent="0.3">
      <c r="A30" s="28" t="s">
        <v>141</v>
      </c>
    </row>
    <row r="31" spans="1:1" x14ac:dyDescent="0.3">
      <c r="A31" s="28" t="s">
        <v>142</v>
      </c>
    </row>
    <row r="32" spans="1:1" x14ac:dyDescent="0.3">
      <c r="A32" s="28"/>
    </row>
    <row r="33" spans="1:1" x14ac:dyDescent="0.3">
      <c r="A33" s="28" t="s">
        <v>143</v>
      </c>
    </row>
    <row r="34" spans="1:1" x14ac:dyDescent="0.3">
      <c r="A34" s="28" t="s">
        <v>144</v>
      </c>
    </row>
    <row r="35" spans="1:1" x14ac:dyDescent="0.3">
      <c r="A35" s="28"/>
    </row>
    <row r="36" spans="1:1" x14ac:dyDescent="0.3">
      <c r="A36" s="28" t="s">
        <v>145</v>
      </c>
    </row>
    <row r="37" spans="1:1" x14ac:dyDescent="0.3">
      <c r="A37" s="28" t="s">
        <v>146</v>
      </c>
    </row>
    <row r="38" spans="1:1" x14ac:dyDescent="0.3">
      <c r="A38" s="28"/>
    </row>
    <row r="39" spans="1:1" x14ac:dyDescent="0.3">
      <c r="A39" s="28" t="s">
        <v>147</v>
      </c>
    </row>
    <row r="40" spans="1:1" x14ac:dyDescent="0.3">
      <c r="A40" s="28" t="s">
        <v>148</v>
      </c>
    </row>
    <row r="41" spans="1:1" x14ac:dyDescent="0.3">
      <c r="A41" s="28"/>
    </row>
    <row r="42" spans="1:1" x14ac:dyDescent="0.3">
      <c r="A42" s="28" t="s">
        <v>149</v>
      </c>
    </row>
    <row r="43" spans="1:1" x14ac:dyDescent="0.3">
      <c r="A43" s="28" t="s">
        <v>150</v>
      </c>
    </row>
    <row r="44" spans="1:1" x14ac:dyDescent="0.3">
      <c r="A44" s="28" t="s">
        <v>151</v>
      </c>
    </row>
    <row r="45" spans="1:1" x14ac:dyDescent="0.3">
      <c r="A45" s="28" t="s">
        <v>152</v>
      </c>
    </row>
    <row r="46" spans="1:1" x14ac:dyDescent="0.3">
      <c r="A46" s="28" t="s">
        <v>153</v>
      </c>
    </row>
    <row r="47" spans="1:1" x14ac:dyDescent="0.3">
      <c r="A47" s="28" t="s">
        <v>154</v>
      </c>
    </row>
    <row r="48" spans="1:1" x14ac:dyDescent="0.3">
      <c r="A48" s="28" t="s">
        <v>155</v>
      </c>
    </row>
    <row r="49" spans="1:1" x14ac:dyDescent="0.3">
      <c r="A49" s="28" t="s">
        <v>156</v>
      </c>
    </row>
    <row r="50" spans="1:1" x14ac:dyDescent="0.3">
      <c r="A50" s="28" t="s">
        <v>157</v>
      </c>
    </row>
    <row r="51" spans="1:1" x14ac:dyDescent="0.3">
      <c r="A51" s="28" t="s">
        <v>158</v>
      </c>
    </row>
    <row r="52" spans="1:1" x14ac:dyDescent="0.3">
      <c r="A52" s="28" t="s">
        <v>159</v>
      </c>
    </row>
    <row r="53" spans="1:1" x14ac:dyDescent="0.3">
      <c r="A53" s="28"/>
    </row>
    <row r="54" spans="1:1" x14ac:dyDescent="0.3">
      <c r="A54" s="28" t="s">
        <v>160</v>
      </c>
    </row>
    <row r="55" spans="1:1" x14ac:dyDescent="0.3">
      <c r="A55" s="28" t="s">
        <v>161</v>
      </c>
    </row>
    <row r="56" spans="1:1" x14ac:dyDescent="0.3">
      <c r="A56" s="28"/>
    </row>
    <row r="57" spans="1:1" x14ac:dyDescent="0.3">
      <c r="A57" s="28" t="s">
        <v>162</v>
      </c>
    </row>
    <row r="58" spans="1:1" x14ac:dyDescent="0.3">
      <c r="A58" s="28" t="s">
        <v>116</v>
      </c>
    </row>
    <row r="59" spans="1:1" x14ac:dyDescent="0.3">
      <c r="A59" s="28"/>
    </row>
    <row r="60" spans="1:1" x14ac:dyDescent="0.3">
      <c r="A60" s="28" t="s">
        <v>124</v>
      </c>
    </row>
    <row r="61" spans="1:1" x14ac:dyDescent="0.3">
      <c r="A61" t="s">
        <v>163</v>
      </c>
    </row>
    <row r="62" spans="1:1" x14ac:dyDescent="0.3">
      <c r="A62" t="s">
        <v>164</v>
      </c>
    </row>
    <row r="63" spans="1:1" x14ac:dyDescent="0.3">
      <c r="A63" t="s">
        <v>165</v>
      </c>
    </row>
    <row r="64" spans="1:1" x14ac:dyDescent="0.3">
      <c r="A64" t="s">
        <v>166</v>
      </c>
    </row>
    <row r="65" spans="1:1" x14ac:dyDescent="0.3">
      <c r="A65" t="s">
        <v>167</v>
      </c>
    </row>
    <row r="66" spans="1:1" x14ac:dyDescent="0.3">
      <c r="A66" t="s">
        <v>124</v>
      </c>
    </row>
    <row r="67" spans="1:1" x14ac:dyDescent="0.3">
      <c r="A67" t="s">
        <v>168</v>
      </c>
    </row>
    <row r="68" spans="1:1" x14ac:dyDescent="0.3">
      <c r="A68" t="s">
        <v>169</v>
      </c>
    </row>
    <row r="69" spans="1:1" x14ac:dyDescent="0.3">
      <c r="A69" t="s">
        <v>170</v>
      </c>
    </row>
    <row r="70" spans="1:1" x14ac:dyDescent="0.3">
      <c r="A70" t="s">
        <v>171</v>
      </c>
    </row>
    <row r="71" spans="1:1" x14ac:dyDescent="0.3">
      <c r="A71" t="s">
        <v>172</v>
      </c>
    </row>
    <row r="72" spans="1:1" x14ac:dyDescent="0.3">
      <c r="A72" t="s">
        <v>173</v>
      </c>
    </row>
    <row r="73" spans="1:1" x14ac:dyDescent="0.3">
      <c r="A73" t="s">
        <v>129</v>
      </c>
    </row>
    <row r="74" spans="1:1" x14ac:dyDescent="0.3">
      <c r="A74" t="s">
        <v>174</v>
      </c>
    </row>
    <row r="75" spans="1:1" x14ac:dyDescent="0.3">
      <c r="A75" t="s">
        <v>129</v>
      </c>
    </row>
    <row r="76" spans="1:1" x14ac:dyDescent="0.3">
      <c r="A76" t="s">
        <v>175</v>
      </c>
    </row>
    <row r="77" spans="1:1" x14ac:dyDescent="0.3">
      <c r="A77" t="s">
        <v>176</v>
      </c>
    </row>
    <row r="78" spans="1:1" x14ac:dyDescent="0.3">
      <c r="A78" t="s">
        <v>177</v>
      </c>
    </row>
    <row r="79" spans="1:1" x14ac:dyDescent="0.3">
      <c r="A79" t="s">
        <v>117</v>
      </c>
    </row>
    <row r="80" spans="1:1" x14ac:dyDescent="0.3">
      <c r="A80" t="s">
        <v>129</v>
      </c>
    </row>
    <row r="81" spans="1:1" x14ac:dyDescent="0.3">
      <c r="A81" t="s">
        <v>178</v>
      </c>
    </row>
    <row r="82" spans="1:1" x14ac:dyDescent="0.3">
      <c r="A82" t="s">
        <v>179</v>
      </c>
    </row>
    <row r="83" spans="1:1" x14ac:dyDescent="0.3">
      <c r="A83" t="s">
        <v>180</v>
      </c>
    </row>
    <row r="84" spans="1:1" x14ac:dyDescent="0.3">
      <c r="A84" t="s">
        <v>181</v>
      </c>
    </row>
    <row r="85" spans="1:1" x14ac:dyDescent="0.3">
      <c r="A85" t="s">
        <v>182</v>
      </c>
    </row>
    <row r="86" spans="1:1" x14ac:dyDescent="0.3">
      <c r="A86" t="s">
        <v>183</v>
      </c>
    </row>
    <row r="87" spans="1:1" x14ac:dyDescent="0.3">
      <c r="A87" t="s">
        <v>184</v>
      </c>
    </row>
    <row r="88" spans="1:1" x14ac:dyDescent="0.3">
      <c r="A88" t="s">
        <v>185</v>
      </c>
    </row>
    <row r="89" spans="1:1" x14ac:dyDescent="0.3">
      <c r="A89" t="s">
        <v>186</v>
      </c>
    </row>
    <row r="90" spans="1:1" x14ac:dyDescent="0.3">
      <c r="A90" t="s">
        <v>187</v>
      </c>
    </row>
    <row r="91" spans="1:1" x14ac:dyDescent="0.3">
      <c r="A91" t="s">
        <v>188</v>
      </c>
    </row>
    <row r="92" spans="1:1" x14ac:dyDescent="0.3">
      <c r="A92" t="s">
        <v>189</v>
      </c>
    </row>
    <row r="93" spans="1:1" x14ac:dyDescent="0.3">
      <c r="A93" t="s">
        <v>190</v>
      </c>
    </row>
    <row r="94" spans="1:1" x14ac:dyDescent="0.3">
      <c r="A94" t="s">
        <v>191</v>
      </c>
    </row>
    <row r="96" spans="1:1" x14ac:dyDescent="0.3">
      <c r="A96" t="s">
        <v>192</v>
      </c>
    </row>
    <row r="97" spans="1:1" x14ac:dyDescent="0.3">
      <c r="A97" t="s">
        <v>129</v>
      </c>
    </row>
    <row r="98" spans="1:1" x14ac:dyDescent="0.3">
      <c r="A98" t="s">
        <v>193</v>
      </c>
    </row>
    <row r="99" spans="1:1" x14ac:dyDescent="0.3">
      <c r="A99" t="s">
        <v>194</v>
      </c>
    </row>
    <row r="100" spans="1:1" x14ac:dyDescent="0.3">
      <c r="A100" t="s">
        <v>129</v>
      </c>
    </row>
    <row r="101" spans="1:1" x14ac:dyDescent="0.3">
      <c r="A101" t="s">
        <v>195</v>
      </c>
    </row>
    <row r="102" spans="1:1" x14ac:dyDescent="0.3">
      <c r="A102" t="s">
        <v>129</v>
      </c>
    </row>
    <row r="103" spans="1:1" x14ac:dyDescent="0.3">
      <c r="A103" t="s">
        <v>196</v>
      </c>
    </row>
    <row r="104" spans="1:1" x14ac:dyDescent="0.3">
      <c r="A104" t="s">
        <v>197</v>
      </c>
    </row>
    <row r="105" spans="1:1" x14ac:dyDescent="0.3">
      <c r="A105" t="s">
        <v>198</v>
      </c>
    </row>
    <row r="106" spans="1:1" x14ac:dyDescent="0.3">
      <c r="A106" t="s">
        <v>177</v>
      </c>
    </row>
    <row r="107" spans="1:1" x14ac:dyDescent="0.3">
      <c r="A107" t="s">
        <v>117</v>
      </c>
    </row>
    <row r="108" spans="1:1" x14ac:dyDescent="0.3">
      <c r="A108" t="s">
        <v>129</v>
      </c>
    </row>
    <row r="109" spans="1:1" x14ac:dyDescent="0.3">
      <c r="A109" t="s">
        <v>199</v>
      </c>
    </row>
    <row r="110" spans="1:1" x14ac:dyDescent="0.3">
      <c r="A110" t="s">
        <v>129</v>
      </c>
    </row>
    <row r="111" spans="1:1" x14ac:dyDescent="0.3">
      <c r="A111" t="s">
        <v>200</v>
      </c>
    </row>
    <row r="112" spans="1:1" x14ac:dyDescent="0.3">
      <c r="A112" t="s">
        <v>201</v>
      </c>
    </row>
    <row r="113" spans="1:1" x14ac:dyDescent="0.3">
      <c r="A113" t="s">
        <v>177</v>
      </c>
    </row>
    <row r="114" spans="1:1" x14ac:dyDescent="0.3">
      <c r="A114" t="s">
        <v>117</v>
      </c>
    </row>
    <row r="115" spans="1:1" x14ac:dyDescent="0.3">
      <c r="A115" t="s">
        <v>129</v>
      </c>
    </row>
    <row r="116" spans="1:1" x14ac:dyDescent="0.3">
      <c r="A116" t="s">
        <v>202</v>
      </c>
    </row>
    <row r="117" spans="1:1" x14ac:dyDescent="0.3">
      <c r="A117" t="s">
        <v>203</v>
      </c>
    </row>
    <row r="118" spans="1:1" x14ac:dyDescent="0.3">
      <c r="A118" t="s">
        <v>129</v>
      </c>
    </row>
    <row r="119" spans="1:1" x14ac:dyDescent="0.3">
      <c r="A119" t="s">
        <v>204</v>
      </c>
    </row>
    <row r="120" spans="1:1" x14ac:dyDescent="0.3">
      <c r="A120" t="s">
        <v>205</v>
      </c>
    </row>
    <row r="121" spans="1:1" x14ac:dyDescent="0.3">
      <c r="A121" t="s">
        <v>129</v>
      </c>
    </row>
    <row r="122" spans="1:1" x14ac:dyDescent="0.3">
      <c r="A122" t="s">
        <v>206</v>
      </c>
    </row>
    <row r="123" spans="1:1" x14ac:dyDescent="0.3">
      <c r="A123" t="s">
        <v>207</v>
      </c>
    </row>
    <row r="124" spans="1:1" x14ac:dyDescent="0.3">
      <c r="A124" t="s">
        <v>118</v>
      </c>
    </row>
  </sheetData>
  <mergeCells count="2">
    <mergeCell ref="A3:H3"/>
    <mergeCell ref="A1:H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Inputs</vt:lpstr>
      <vt:lpstr>MarketData</vt:lpstr>
      <vt:lpstr>Forwards</vt:lpstr>
      <vt:lpstr>Options_Black76</vt:lpstr>
      <vt:lpstr>TrinomialTree</vt:lpstr>
      <vt:lpstr>Scenario</vt:lpstr>
      <vt:lpstr>Dashboard</vt:lpstr>
      <vt:lpstr>VBA_Code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Sylvain Lehello</cp:lastModifiedBy>
  <dcterms:created xsi:type="dcterms:W3CDTF">2026-01-20T15:34:57Z</dcterms:created>
  <dcterms:modified xsi:type="dcterms:W3CDTF">2026-01-20T22:38:36Z</dcterms:modified>
</cp:coreProperties>
</file>